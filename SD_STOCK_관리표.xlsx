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EB502A4-FB2D-4EE2-86B4-948B8250E53C}" xr6:coauthVersionLast="47" xr6:coauthVersionMax="47" xr10:uidLastSave="{00000000-0000-0000-0000-000000000000}"/>
  <bookViews>
    <workbookView xWindow="690" yWindow="780" windowWidth="20595" windowHeight="15270" xr2:uid="{00000000-000D-0000-FFFF-FFFF00000000}"/>
  </bookViews>
  <sheets>
    <sheet name="stock관리표" sheetId="1" r:id="rId1"/>
    <sheet name="1월26일" sheetId="1191" r:id="rId2"/>
    <sheet name="1월27일" sheetId="1192" r:id="rId3"/>
    <sheet name="1월28일" sheetId="1193" r:id="rId4"/>
    <sheet name="1월29일" sheetId="1194" r:id="rId5"/>
    <sheet name="1월30일" sheetId="1195" r:id="rId6"/>
    <sheet name="1-5" sheetId="1196" r:id="rId7"/>
  </sheets>
  <definedNames>
    <definedName name="_xlnm.Print_Area" localSheetId="6">'1-5'!$A$1:$Q$33</definedName>
    <definedName name="_xlnm.Print_Area" localSheetId="1">'1월26일'!$A$1:$Q$33</definedName>
    <definedName name="_xlnm.Print_Area" localSheetId="2">'1월27일'!$A$1:$Q$33</definedName>
    <definedName name="_xlnm.Print_Area" localSheetId="3">'1월28일'!$A$1:$Q$33</definedName>
    <definedName name="_xlnm.Print_Area" localSheetId="4">'1월29일'!$A$1:$Q$33</definedName>
    <definedName name="_xlnm.Print_Area" localSheetId="5">'1월30일'!$A$1:$Q$33</definedName>
    <definedName name="_xlnm.Print_Area" localSheetId="0">stock관리표!$A$1:$Q$32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8" i="1196" l="1"/>
  <c r="K23" i="1194"/>
  <c r="D29" i="1196" l="1"/>
  <c r="O28" i="1196"/>
  <c r="M28" i="1196"/>
  <c r="K28" i="1196"/>
  <c r="J28" i="1196"/>
  <c r="I28" i="1196"/>
  <c r="G28" i="1196"/>
  <c r="D28" i="1196"/>
  <c r="F28" i="1196" s="1"/>
  <c r="F29" i="1196" s="1"/>
  <c r="Q27" i="1196"/>
  <c r="O27" i="1196"/>
  <c r="O29" i="1196" s="1"/>
  <c r="M27" i="1196"/>
  <c r="P27" i="1196" s="1"/>
  <c r="K27" i="1196"/>
  <c r="K29" i="1196" s="1"/>
  <c r="I27" i="1196"/>
  <c r="I29" i="1196" s="1"/>
  <c r="G27" i="1196"/>
  <c r="J27" i="1196" s="1"/>
  <c r="J29" i="1196" s="1"/>
  <c r="F27" i="1196"/>
  <c r="Q25" i="1196"/>
  <c r="O25" i="1196"/>
  <c r="M25" i="1196"/>
  <c r="K25" i="1196"/>
  <c r="I25" i="1196"/>
  <c r="G25" i="1196"/>
  <c r="Q24" i="1196"/>
  <c r="O24" i="1196"/>
  <c r="M24" i="1196"/>
  <c r="K24" i="1196"/>
  <c r="I24" i="1196"/>
  <c r="G24" i="1196"/>
  <c r="D24" i="1196"/>
  <c r="D25" i="1196" s="1"/>
  <c r="F25" i="1196" s="1"/>
  <c r="F26" i="1196" s="1"/>
  <c r="Q22" i="1196"/>
  <c r="O22" i="1196"/>
  <c r="M22" i="1196"/>
  <c r="K22" i="1196"/>
  <c r="I22" i="1196"/>
  <c r="G22" i="1196"/>
  <c r="Q21" i="1196"/>
  <c r="O21" i="1196"/>
  <c r="M21" i="1196"/>
  <c r="P21" i="1196" s="1"/>
  <c r="K21" i="1196"/>
  <c r="I21" i="1196"/>
  <c r="G21" i="1196"/>
  <c r="Q19" i="1196"/>
  <c r="O19" i="1196"/>
  <c r="M19" i="1196"/>
  <c r="K19" i="1196"/>
  <c r="I19" i="1196"/>
  <c r="G19" i="1196"/>
  <c r="Q18" i="1196"/>
  <c r="O18" i="1196"/>
  <c r="P18" i="1196" s="1"/>
  <c r="M18" i="1196"/>
  <c r="K18" i="1196"/>
  <c r="I18" i="1196"/>
  <c r="G18" i="1196"/>
  <c r="Q16" i="1196"/>
  <c r="O16" i="1196"/>
  <c r="P16" i="1196" s="1"/>
  <c r="M16" i="1196"/>
  <c r="K16" i="1196"/>
  <c r="I16" i="1196"/>
  <c r="G16" i="1196"/>
  <c r="Q15" i="1196"/>
  <c r="O15" i="1196"/>
  <c r="M15" i="1196"/>
  <c r="K15" i="1196"/>
  <c r="I15" i="1196"/>
  <c r="G15" i="1196"/>
  <c r="Q13" i="1196"/>
  <c r="O13" i="1196"/>
  <c r="M13" i="1196"/>
  <c r="P13" i="1196" s="1"/>
  <c r="K13" i="1196"/>
  <c r="I13" i="1196"/>
  <c r="G13" i="1196"/>
  <c r="J13" i="1196" s="1"/>
  <c r="Q12" i="1196"/>
  <c r="Q14" i="1196" s="1"/>
  <c r="O12" i="1196"/>
  <c r="O14" i="1196" s="1"/>
  <c r="M12" i="1196"/>
  <c r="M14" i="1196" s="1"/>
  <c r="K12" i="1196"/>
  <c r="K14" i="1196" s="1"/>
  <c r="I12" i="1196"/>
  <c r="G12" i="1196"/>
  <c r="M11" i="1196"/>
  <c r="K11" i="1196"/>
  <c r="G11" i="1196"/>
  <c r="Q10" i="1196"/>
  <c r="O10" i="1196"/>
  <c r="P10" i="1196" s="1"/>
  <c r="K10" i="1196"/>
  <c r="I10" i="1196"/>
  <c r="J10" i="1196" s="1"/>
  <c r="Q9" i="1196"/>
  <c r="Q11" i="1196" s="1"/>
  <c r="O9" i="1196"/>
  <c r="K9" i="1196"/>
  <c r="I9" i="1196"/>
  <c r="I11" i="1196" s="1"/>
  <c r="Q29" i="1195"/>
  <c r="O29" i="1195"/>
  <c r="O33" i="1195" s="1"/>
  <c r="K29" i="1195"/>
  <c r="I29" i="1195"/>
  <c r="D29" i="1195"/>
  <c r="P28" i="1195"/>
  <c r="J28" i="1195"/>
  <c r="D28" i="1195"/>
  <c r="F28" i="1195" s="1"/>
  <c r="F29" i="1195" s="1"/>
  <c r="P27" i="1195"/>
  <c r="J27" i="1195"/>
  <c r="F27" i="1195"/>
  <c r="Q26" i="1195"/>
  <c r="O26" i="1195"/>
  <c r="K26" i="1195"/>
  <c r="I26" i="1195"/>
  <c r="P25" i="1195"/>
  <c r="P26" i="1195" s="1"/>
  <c r="J25" i="1195"/>
  <c r="P24" i="1195"/>
  <c r="J24" i="1195"/>
  <c r="J26" i="1195" s="1"/>
  <c r="D24" i="1195"/>
  <c r="F24" i="1195" s="1"/>
  <c r="Q23" i="1195"/>
  <c r="O23" i="1195"/>
  <c r="K23" i="1195"/>
  <c r="I23" i="1195"/>
  <c r="P22" i="1195"/>
  <c r="J22" i="1195"/>
  <c r="P21" i="1195"/>
  <c r="P23" i="1195" s="1"/>
  <c r="J21" i="1195"/>
  <c r="Q20" i="1195"/>
  <c r="O20" i="1195"/>
  <c r="K20" i="1195"/>
  <c r="I20" i="1195"/>
  <c r="P19" i="1195"/>
  <c r="J19" i="1195"/>
  <c r="P18" i="1195"/>
  <c r="P20" i="1195" s="1"/>
  <c r="J18" i="1195"/>
  <c r="Q17" i="1195"/>
  <c r="O17" i="1195"/>
  <c r="K17" i="1195"/>
  <c r="I17" i="1195"/>
  <c r="P16" i="1195"/>
  <c r="P17" i="1195" s="1"/>
  <c r="J16" i="1195"/>
  <c r="P15" i="1195"/>
  <c r="J15" i="1195"/>
  <c r="J17" i="1195" s="1"/>
  <c r="Q14" i="1195"/>
  <c r="O14" i="1195"/>
  <c r="K14" i="1195"/>
  <c r="I14" i="1195"/>
  <c r="I33" i="1195" s="1"/>
  <c r="P13" i="1195"/>
  <c r="P14" i="1195" s="1"/>
  <c r="J13" i="1195"/>
  <c r="P12" i="1195"/>
  <c r="J12" i="1195"/>
  <c r="J14" i="1195" s="1"/>
  <c r="Q11" i="1195"/>
  <c r="Q33" i="1195" s="1"/>
  <c r="O11" i="1195"/>
  <c r="M11" i="1195"/>
  <c r="M33" i="1195" s="1"/>
  <c r="K11" i="1195"/>
  <c r="K33" i="1195" s="1"/>
  <c r="I11" i="1195"/>
  <c r="G11" i="1195"/>
  <c r="G33" i="1195" s="1"/>
  <c r="P10" i="1195"/>
  <c r="J10" i="1195"/>
  <c r="P9" i="1195"/>
  <c r="J9" i="1195"/>
  <c r="Q29" i="1194"/>
  <c r="O29" i="1194"/>
  <c r="K29" i="1194"/>
  <c r="I29" i="1194"/>
  <c r="D29" i="1194"/>
  <c r="P28" i="1194"/>
  <c r="J28" i="1194"/>
  <c r="D28" i="1194"/>
  <c r="F28" i="1194" s="1"/>
  <c r="F29" i="1194" s="1"/>
  <c r="P27" i="1194"/>
  <c r="J27" i="1194"/>
  <c r="F27" i="1194"/>
  <c r="Q26" i="1194"/>
  <c r="O26" i="1194"/>
  <c r="K26" i="1194"/>
  <c r="I26" i="1194"/>
  <c r="P25" i="1194"/>
  <c r="J25" i="1194"/>
  <c r="P24" i="1194"/>
  <c r="J24" i="1194"/>
  <c r="F24" i="1194"/>
  <c r="D24" i="1194"/>
  <c r="D26" i="1194" s="1"/>
  <c r="Q23" i="1194"/>
  <c r="O23" i="1194"/>
  <c r="I23" i="1194"/>
  <c r="P22" i="1194"/>
  <c r="J22" i="1194"/>
  <c r="P21" i="1194"/>
  <c r="P23" i="1194" s="1"/>
  <c r="J21" i="1194"/>
  <c r="D21" i="1194"/>
  <c r="D23" i="1194" s="1"/>
  <c r="Q20" i="1194"/>
  <c r="O20" i="1194"/>
  <c r="K20" i="1194"/>
  <c r="I20" i="1194"/>
  <c r="P19" i="1194"/>
  <c r="J19" i="1194"/>
  <c r="P18" i="1194"/>
  <c r="J18" i="1194"/>
  <c r="J20" i="1194" s="1"/>
  <c r="Q17" i="1194"/>
  <c r="O17" i="1194"/>
  <c r="K17" i="1194"/>
  <c r="I17" i="1194"/>
  <c r="P16" i="1194"/>
  <c r="J16" i="1194"/>
  <c r="P15" i="1194"/>
  <c r="J15" i="1194"/>
  <c r="Q14" i="1194"/>
  <c r="O14" i="1194"/>
  <c r="K14" i="1194"/>
  <c r="I14" i="1194"/>
  <c r="P13" i="1194"/>
  <c r="J13" i="1194"/>
  <c r="P12" i="1194"/>
  <c r="J12" i="1194"/>
  <c r="J14" i="1194" s="1"/>
  <c r="Q11" i="1194"/>
  <c r="O11" i="1194"/>
  <c r="O33" i="1194" s="1"/>
  <c r="M11" i="1194"/>
  <c r="M33" i="1194" s="1"/>
  <c r="K11" i="1194"/>
  <c r="I11" i="1194"/>
  <c r="G11" i="1194"/>
  <c r="G33" i="1194" s="1"/>
  <c r="P10" i="1194"/>
  <c r="J10" i="1194"/>
  <c r="P9" i="1194"/>
  <c r="J9" i="1194"/>
  <c r="Q29" i="1193"/>
  <c r="O29" i="1193"/>
  <c r="K29" i="1193"/>
  <c r="I29" i="1193"/>
  <c r="D29" i="1193"/>
  <c r="P28" i="1193"/>
  <c r="J28" i="1193"/>
  <c r="J29" i="1193" s="1"/>
  <c r="D28" i="1193"/>
  <c r="F28" i="1193" s="1"/>
  <c r="F29" i="1193" s="1"/>
  <c r="P27" i="1193"/>
  <c r="P29" i="1193" s="1"/>
  <c r="J27" i="1193"/>
  <c r="F27" i="1193"/>
  <c r="Q26" i="1193"/>
  <c r="O26" i="1193"/>
  <c r="K26" i="1193"/>
  <c r="I26" i="1193"/>
  <c r="P25" i="1193"/>
  <c r="P26" i="1193" s="1"/>
  <c r="J25" i="1193"/>
  <c r="P24" i="1193"/>
  <c r="J24" i="1193"/>
  <c r="F24" i="1193"/>
  <c r="D24" i="1193"/>
  <c r="D26" i="1193" s="1"/>
  <c r="Q23" i="1193"/>
  <c r="O23" i="1193"/>
  <c r="K23" i="1193"/>
  <c r="I23" i="1193"/>
  <c r="P22" i="1193"/>
  <c r="P23" i="1193" s="1"/>
  <c r="J22" i="1193"/>
  <c r="P21" i="1193"/>
  <c r="J21" i="1193"/>
  <c r="D21" i="1193"/>
  <c r="D23" i="1193" s="1"/>
  <c r="Q20" i="1193"/>
  <c r="O20" i="1193"/>
  <c r="K20" i="1193"/>
  <c r="I20" i="1193"/>
  <c r="P19" i="1193"/>
  <c r="J19" i="1193"/>
  <c r="P18" i="1193"/>
  <c r="J18" i="1193"/>
  <c r="Q17" i="1193"/>
  <c r="O17" i="1193"/>
  <c r="K17" i="1193"/>
  <c r="I17" i="1193"/>
  <c r="P16" i="1193"/>
  <c r="J16" i="1193"/>
  <c r="P15" i="1193"/>
  <c r="J15" i="1193"/>
  <c r="J17" i="1193" s="1"/>
  <c r="Q14" i="1193"/>
  <c r="O14" i="1193"/>
  <c r="K14" i="1193"/>
  <c r="I14" i="1193"/>
  <c r="P13" i="1193"/>
  <c r="P14" i="1193" s="1"/>
  <c r="J13" i="1193"/>
  <c r="P12" i="1193"/>
  <c r="J12" i="1193"/>
  <c r="J14" i="1193" s="1"/>
  <c r="Q11" i="1193"/>
  <c r="O11" i="1193"/>
  <c r="M11" i="1193"/>
  <c r="M33" i="1193" s="1"/>
  <c r="K11" i="1193"/>
  <c r="I11" i="1193"/>
  <c r="G11" i="1193"/>
  <c r="G33" i="1193" s="1"/>
  <c r="P10" i="1193"/>
  <c r="J10" i="1193"/>
  <c r="P9" i="1193"/>
  <c r="J9" i="1193"/>
  <c r="J11" i="1193" s="1"/>
  <c r="Q29" i="1192"/>
  <c r="O29" i="1192"/>
  <c r="K29" i="1192"/>
  <c r="I29" i="1192"/>
  <c r="D29" i="1192"/>
  <c r="P28" i="1192"/>
  <c r="J28" i="1192"/>
  <c r="D28" i="1192"/>
  <c r="F28" i="1192" s="1"/>
  <c r="F29" i="1192" s="1"/>
  <c r="P27" i="1192"/>
  <c r="J27" i="1192"/>
  <c r="F27" i="1192"/>
  <c r="Q26" i="1192"/>
  <c r="O26" i="1192"/>
  <c r="K26" i="1192"/>
  <c r="I26" i="1192"/>
  <c r="P25" i="1192"/>
  <c r="J25" i="1192"/>
  <c r="P24" i="1192"/>
  <c r="J24" i="1192"/>
  <c r="J26" i="1192" s="1"/>
  <c r="F24" i="1192"/>
  <c r="D24" i="1192"/>
  <c r="D26" i="1192" s="1"/>
  <c r="Q23" i="1192"/>
  <c r="O23" i="1192"/>
  <c r="K23" i="1192"/>
  <c r="I23" i="1192"/>
  <c r="P22" i="1192"/>
  <c r="J22" i="1192"/>
  <c r="P21" i="1192"/>
  <c r="J21" i="1192"/>
  <c r="D21" i="1192"/>
  <c r="D23" i="1192" s="1"/>
  <c r="Q20" i="1192"/>
  <c r="O20" i="1192"/>
  <c r="K20" i="1192"/>
  <c r="I20" i="1192"/>
  <c r="P19" i="1192"/>
  <c r="J19" i="1192"/>
  <c r="P18" i="1192"/>
  <c r="J18" i="1192"/>
  <c r="Q17" i="1192"/>
  <c r="O17" i="1192"/>
  <c r="K17" i="1192"/>
  <c r="I17" i="1192"/>
  <c r="P16" i="1192"/>
  <c r="J16" i="1192"/>
  <c r="P15" i="1192"/>
  <c r="J15" i="1192"/>
  <c r="J17" i="1192" s="1"/>
  <c r="Q14" i="1192"/>
  <c r="O14" i="1192"/>
  <c r="K14" i="1192"/>
  <c r="I14" i="1192"/>
  <c r="P13" i="1192"/>
  <c r="J13" i="1192"/>
  <c r="P12" i="1192"/>
  <c r="P14" i="1192" s="1"/>
  <c r="J12" i="1192"/>
  <c r="J14" i="1192" s="1"/>
  <c r="Q11" i="1192"/>
  <c r="O11" i="1192"/>
  <c r="M11" i="1192"/>
  <c r="M33" i="1192" s="1"/>
  <c r="K11" i="1192"/>
  <c r="I11" i="1192"/>
  <c r="G11" i="1192"/>
  <c r="G33" i="1192" s="1"/>
  <c r="P10" i="1192"/>
  <c r="J10" i="1192"/>
  <c r="P9" i="1192"/>
  <c r="J9" i="1192"/>
  <c r="Q29" i="1191"/>
  <c r="O29" i="1191"/>
  <c r="K29" i="1191"/>
  <c r="I29" i="1191"/>
  <c r="D29" i="1191"/>
  <c r="P28" i="1191"/>
  <c r="J28" i="1191"/>
  <c r="J29" i="1191" s="1"/>
  <c r="D28" i="1191"/>
  <c r="F28" i="1191" s="1"/>
  <c r="F29" i="1191" s="1"/>
  <c r="P27" i="1191"/>
  <c r="P29" i="1191" s="1"/>
  <c r="J27" i="1191"/>
  <c r="F27" i="1191"/>
  <c r="Q26" i="1191"/>
  <c r="O26" i="1191"/>
  <c r="K26" i="1191"/>
  <c r="I26" i="1191"/>
  <c r="P25" i="1191"/>
  <c r="J25" i="1191"/>
  <c r="P24" i="1191"/>
  <c r="J24" i="1191"/>
  <c r="D24" i="1191"/>
  <c r="D26" i="1191" s="1"/>
  <c r="Q23" i="1191"/>
  <c r="P23" i="1191"/>
  <c r="O23" i="1191"/>
  <c r="K23" i="1191"/>
  <c r="I23" i="1191"/>
  <c r="P22" i="1191"/>
  <c r="J22" i="1191"/>
  <c r="P21" i="1191"/>
  <c r="J21" i="1191"/>
  <c r="Q20" i="1191"/>
  <c r="O20" i="1191"/>
  <c r="K20" i="1191"/>
  <c r="I20" i="1191"/>
  <c r="P19" i="1191"/>
  <c r="J19" i="1191"/>
  <c r="P18" i="1191"/>
  <c r="J18" i="1191"/>
  <c r="Q17" i="1191"/>
  <c r="O17" i="1191"/>
  <c r="K17" i="1191"/>
  <c r="I17" i="1191"/>
  <c r="P16" i="1191"/>
  <c r="J16" i="1191"/>
  <c r="P15" i="1191"/>
  <c r="P17" i="1191" s="1"/>
  <c r="J15" i="1191"/>
  <c r="J17" i="1191" s="1"/>
  <c r="Q14" i="1191"/>
  <c r="O14" i="1191"/>
  <c r="K14" i="1191"/>
  <c r="I14" i="1191"/>
  <c r="P13" i="1191"/>
  <c r="J13" i="1191"/>
  <c r="P12" i="1191"/>
  <c r="P14" i="1191" s="1"/>
  <c r="J12" i="1191"/>
  <c r="J14" i="1191" s="1"/>
  <c r="Q11" i="1191"/>
  <c r="O11" i="1191"/>
  <c r="M11" i="1191"/>
  <c r="M33" i="1191" s="1"/>
  <c r="K11" i="1191"/>
  <c r="I11" i="1191"/>
  <c r="G11" i="1191"/>
  <c r="G33" i="1191" s="1"/>
  <c r="P10" i="1191"/>
  <c r="J10" i="1191"/>
  <c r="P9" i="1191"/>
  <c r="P11" i="1191" s="1"/>
  <c r="J9" i="1191"/>
  <c r="J11" i="1191" s="1"/>
  <c r="P11" i="1195" l="1"/>
  <c r="P29" i="1195"/>
  <c r="J11" i="1195"/>
  <c r="J33" i="1195" s="1"/>
  <c r="J20" i="1195"/>
  <c r="J23" i="1195"/>
  <c r="J29" i="1195"/>
  <c r="J17" i="1194"/>
  <c r="Q17" i="1196"/>
  <c r="Q33" i="1194"/>
  <c r="Q29" i="1196"/>
  <c r="P29" i="1194"/>
  <c r="P9" i="1196"/>
  <c r="P11" i="1196" s="1"/>
  <c r="P11" i="1194"/>
  <c r="P26" i="1194"/>
  <c r="P14" i="1194"/>
  <c r="P33" i="1194" s="1"/>
  <c r="P17" i="1194"/>
  <c r="P20" i="1194"/>
  <c r="J26" i="1194"/>
  <c r="J23" i="1194"/>
  <c r="K23" i="1196"/>
  <c r="I33" i="1194"/>
  <c r="K20" i="1196"/>
  <c r="K33" i="1194"/>
  <c r="J11" i="1194"/>
  <c r="J29" i="1194"/>
  <c r="P17" i="1193"/>
  <c r="P17" i="1192"/>
  <c r="P20" i="1192"/>
  <c r="O33" i="1193"/>
  <c r="P20" i="1193"/>
  <c r="Q33" i="1193"/>
  <c r="J23" i="1193"/>
  <c r="J23" i="1192"/>
  <c r="K33" i="1193"/>
  <c r="P11" i="1193"/>
  <c r="O17" i="1196"/>
  <c r="K17" i="1196"/>
  <c r="I33" i="1193"/>
  <c r="J20" i="1193"/>
  <c r="J26" i="1193"/>
  <c r="P26" i="1192"/>
  <c r="J20" i="1192"/>
  <c r="P28" i="1196"/>
  <c r="P29" i="1196" s="1"/>
  <c r="P11" i="1192"/>
  <c r="J11" i="1192"/>
  <c r="P29" i="1192"/>
  <c r="Q23" i="1196"/>
  <c r="Q33" i="1192"/>
  <c r="P22" i="1196"/>
  <c r="P23" i="1196" s="1"/>
  <c r="O23" i="1196"/>
  <c r="O33" i="1192"/>
  <c r="P23" i="1192"/>
  <c r="K33" i="1192"/>
  <c r="I26" i="1196"/>
  <c r="I33" i="1192"/>
  <c r="J29" i="1192"/>
  <c r="Q33" i="1191"/>
  <c r="J26" i="1191"/>
  <c r="K26" i="1196"/>
  <c r="J25" i="1196"/>
  <c r="I23" i="1196"/>
  <c r="J19" i="1196"/>
  <c r="I20" i="1196"/>
  <c r="I17" i="1196"/>
  <c r="Q26" i="1196"/>
  <c r="P26" i="1191"/>
  <c r="O26" i="1196"/>
  <c r="O33" i="1191"/>
  <c r="P25" i="1196"/>
  <c r="P20" i="1191"/>
  <c r="Q20" i="1196"/>
  <c r="P19" i="1196"/>
  <c r="P20" i="1196" s="1"/>
  <c r="P15" i="1196"/>
  <c r="P17" i="1196" s="1"/>
  <c r="M20" i="1196"/>
  <c r="M26" i="1196"/>
  <c r="J21" i="1196"/>
  <c r="I33" i="1191"/>
  <c r="J15" i="1196"/>
  <c r="J17" i="1196" s="1"/>
  <c r="K33" i="1191"/>
  <c r="J12" i="1196"/>
  <c r="J14" i="1196" s="1"/>
  <c r="J20" i="1191"/>
  <c r="G14" i="1196"/>
  <c r="G20" i="1196"/>
  <c r="J16" i="1196"/>
  <c r="J22" i="1196"/>
  <c r="J23" i="1191"/>
  <c r="G26" i="1196"/>
  <c r="D21" i="1195"/>
  <c r="D18" i="1194"/>
  <c r="F21" i="1194"/>
  <c r="D18" i="1193"/>
  <c r="F21" i="1193"/>
  <c r="D18" i="1192"/>
  <c r="F21" i="1192"/>
  <c r="D21" i="1191"/>
  <c r="F24" i="1191"/>
  <c r="I14" i="1196"/>
  <c r="O20" i="1196"/>
  <c r="G29" i="1196"/>
  <c r="M29" i="1196"/>
  <c r="P12" i="1196"/>
  <c r="P14" i="1196" s="1"/>
  <c r="G17" i="1196"/>
  <c r="M17" i="1196"/>
  <c r="J18" i="1196"/>
  <c r="G23" i="1196"/>
  <c r="M23" i="1196"/>
  <c r="M33" i="1196" s="1"/>
  <c r="J24" i="1196"/>
  <c r="P24" i="1196"/>
  <c r="D26" i="1196"/>
  <c r="J9" i="1196"/>
  <c r="J11" i="1196" s="1"/>
  <c r="O11" i="1196"/>
  <c r="F24" i="1196"/>
  <c r="D21" i="1196"/>
  <c r="P33" i="1195"/>
  <c r="D22" i="1195"/>
  <c r="F22" i="1195" s="1"/>
  <c r="F23" i="1195" s="1"/>
  <c r="D23" i="1195"/>
  <c r="D25" i="1195"/>
  <c r="F25" i="1195" s="1"/>
  <c r="F26" i="1195" s="1"/>
  <c r="D26" i="1195"/>
  <c r="D19" i="1194"/>
  <c r="F19" i="1194" s="1"/>
  <c r="F20" i="1194" s="1"/>
  <c r="D22" i="1194"/>
  <c r="F22" i="1194" s="1"/>
  <c r="F23" i="1194" s="1"/>
  <c r="D25" i="1194"/>
  <c r="F25" i="1194" s="1"/>
  <c r="F26" i="1194" s="1"/>
  <c r="D19" i="1193"/>
  <c r="F19" i="1193" s="1"/>
  <c r="F20" i="1193" s="1"/>
  <c r="D22" i="1193"/>
  <c r="F22" i="1193" s="1"/>
  <c r="F23" i="1193" s="1"/>
  <c r="D25" i="1193"/>
  <c r="F25" i="1193" s="1"/>
  <c r="F26" i="1193" s="1"/>
  <c r="D19" i="1192"/>
  <c r="F19" i="1192" s="1"/>
  <c r="F20" i="1192" s="1"/>
  <c r="D22" i="1192"/>
  <c r="F22" i="1192" s="1"/>
  <c r="F23" i="1192" s="1"/>
  <c r="D25" i="1192"/>
  <c r="F25" i="1192" s="1"/>
  <c r="F26" i="1192" s="1"/>
  <c r="D22" i="1191"/>
  <c r="F22" i="1191" s="1"/>
  <c r="F23" i="1191" s="1"/>
  <c r="D25" i="1191"/>
  <c r="F25" i="1191" s="1"/>
  <c r="F26" i="1191" s="1"/>
  <c r="J33" i="1193" l="1"/>
  <c r="J33" i="1194"/>
  <c r="P33" i="1193"/>
  <c r="K33" i="1196"/>
  <c r="J33" i="1192"/>
  <c r="J26" i="1196"/>
  <c r="P26" i="1196"/>
  <c r="P33" i="1192"/>
  <c r="J23" i="1196"/>
  <c r="J20" i="1196"/>
  <c r="I33" i="1196"/>
  <c r="P33" i="1191"/>
  <c r="J33" i="1191"/>
  <c r="Q33" i="1196"/>
  <c r="P33" i="1196"/>
  <c r="G33" i="1196"/>
  <c r="F21" i="1195"/>
  <c r="D18" i="1195"/>
  <c r="D20" i="1194"/>
  <c r="F18" i="1194"/>
  <c r="D15" i="1194"/>
  <c r="D20" i="1193"/>
  <c r="F18" i="1193"/>
  <c r="D15" i="1193"/>
  <c r="D20" i="1192"/>
  <c r="F18" i="1192"/>
  <c r="D15" i="1192"/>
  <c r="D23" i="1191"/>
  <c r="D18" i="1191"/>
  <c r="F21" i="1191"/>
  <c r="D23" i="1196"/>
  <c r="F21" i="1196"/>
  <c r="D22" i="1196"/>
  <c r="F22" i="1196" s="1"/>
  <c r="F23" i="1196" s="1"/>
  <c r="D18" i="1196"/>
  <c r="O33" i="1196"/>
  <c r="J33" i="1196" l="1"/>
  <c r="F18" i="1195"/>
  <c r="D15" i="1195"/>
  <c r="D19" i="1195"/>
  <c r="F19" i="1195" s="1"/>
  <c r="F20" i="1195" s="1"/>
  <c r="D20" i="1195"/>
  <c r="D17" i="1194"/>
  <c r="F15" i="1194"/>
  <c r="D12" i="1194"/>
  <c r="D16" i="1194"/>
  <c r="F16" i="1194" s="1"/>
  <c r="F17" i="1194" s="1"/>
  <c r="D17" i="1193"/>
  <c r="F15" i="1193"/>
  <c r="D12" i="1193"/>
  <c r="D16" i="1193"/>
  <c r="F16" i="1193" s="1"/>
  <c r="F17" i="1193" s="1"/>
  <c r="D17" i="1192"/>
  <c r="F15" i="1192"/>
  <c r="D12" i="1192"/>
  <c r="D16" i="1192"/>
  <c r="F16" i="1192" s="1"/>
  <c r="F17" i="1192" s="1"/>
  <c r="D20" i="1191"/>
  <c r="F18" i="1191"/>
  <c r="D15" i="1191"/>
  <c r="D19" i="1191"/>
  <c r="F19" i="1191" s="1"/>
  <c r="F20" i="1191" s="1"/>
  <c r="D19" i="1196"/>
  <c r="F19" i="1196" s="1"/>
  <c r="F20" i="1196" s="1"/>
  <c r="D15" i="1196"/>
  <c r="F18" i="1196"/>
  <c r="D20" i="1196"/>
  <c r="F15" i="1195" l="1"/>
  <c r="D12" i="1195"/>
  <c r="D16" i="1195"/>
  <c r="F16" i="1195" s="1"/>
  <c r="F17" i="1195" s="1"/>
  <c r="D17" i="1195"/>
  <c r="D14" i="1194"/>
  <c r="D9" i="1194"/>
  <c r="F12" i="1194"/>
  <c r="D13" i="1194"/>
  <c r="F13" i="1194" s="1"/>
  <c r="F14" i="1194" s="1"/>
  <c r="D14" i="1193"/>
  <c r="D9" i="1193"/>
  <c r="F12" i="1193"/>
  <c r="D13" i="1193"/>
  <c r="F13" i="1193" s="1"/>
  <c r="F14" i="1193" s="1"/>
  <c r="D14" i="1192"/>
  <c r="D9" i="1192"/>
  <c r="F12" i="1192"/>
  <c r="D13" i="1192"/>
  <c r="F13" i="1192" s="1"/>
  <c r="F14" i="1192" s="1"/>
  <c r="D17" i="1191"/>
  <c r="F15" i="1191"/>
  <c r="D12" i="1191"/>
  <c r="D16" i="1191"/>
  <c r="F16" i="1191" s="1"/>
  <c r="F17" i="1191" s="1"/>
  <c r="D17" i="1196"/>
  <c r="D16" i="1196"/>
  <c r="F16" i="1196" s="1"/>
  <c r="F17" i="1196" s="1"/>
  <c r="D12" i="1196"/>
  <c r="F15" i="1196"/>
  <c r="F12" i="1195" l="1"/>
  <c r="D9" i="1195"/>
  <c r="D13" i="1195"/>
  <c r="F13" i="1195" s="1"/>
  <c r="F14" i="1195" s="1"/>
  <c r="D14" i="1195"/>
  <c r="D11" i="1194"/>
  <c r="F9" i="1194"/>
  <c r="D10" i="1194"/>
  <c r="F10" i="1194" s="1"/>
  <c r="F11" i="1194" s="1"/>
  <c r="F9" i="1193"/>
  <c r="D10" i="1193"/>
  <c r="F10" i="1193" s="1"/>
  <c r="F11" i="1193" s="1"/>
  <c r="D11" i="1193"/>
  <c r="D11" i="1192"/>
  <c r="F9" i="1192"/>
  <c r="D10" i="1192"/>
  <c r="F10" i="1192" s="1"/>
  <c r="F11" i="1192" s="1"/>
  <c r="D14" i="1191"/>
  <c r="F12" i="1191"/>
  <c r="D9" i="1191"/>
  <c r="D13" i="1191"/>
  <c r="F13" i="1191" s="1"/>
  <c r="F14" i="1191" s="1"/>
  <c r="D13" i="1196"/>
  <c r="F13" i="1196" s="1"/>
  <c r="F14" i="1196" s="1"/>
  <c r="D9" i="1196"/>
  <c r="F12" i="1196"/>
  <c r="D14" i="1196"/>
  <c r="F9" i="1195" l="1"/>
  <c r="D10" i="1195"/>
  <c r="F10" i="1195" s="1"/>
  <c r="F11" i="1195" s="1"/>
  <c r="D11" i="1195"/>
  <c r="F9" i="1191"/>
  <c r="D11" i="1191"/>
  <c r="D10" i="1191"/>
  <c r="F10" i="1191" s="1"/>
  <c r="F11" i="1191" s="1"/>
  <c r="D11" i="1196"/>
  <c r="D10" i="1196"/>
  <c r="F10" i="1196" s="1"/>
  <c r="F11" i="1196" s="1"/>
  <c r="F9" i="1196"/>
  <c r="D28" i="1" l="1"/>
  <c r="D27" i="1"/>
  <c r="F27" i="1" s="1"/>
  <c r="F28" i="1" s="1"/>
  <c r="F26" i="1"/>
  <c r="D23" i="1"/>
  <c r="D25" i="1" s="1"/>
  <c r="D20" i="1" l="1"/>
  <c r="D22" i="1" s="1"/>
  <c r="F23" i="1"/>
  <c r="D24" i="1"/>
  <c r="F24" i="1" s="1"/>
  <c r="F25" i="1" s="1"/>
  <c r="D17" i="1" l="1"/>
  <c r="D19" i="1" s="1"/>
  <c r="F20" i="1"/>
  <c r="D21" i="1"/>
  <c r="F21" i="1" s="1"/>
  <c r="F22" i="1" s="1"/>
  <c r="D18" i="1" l="1"/>
  <c r="F18" i="1" s="1"/>
  <c r="F19" i="1" s="1"/>
  <c r="F17" i="1"/>
  <c r="D14" i="1"/>
  <c r="F14" i="1" s="1"/>
  <c r="D15" i="1" l="1"/>
  <c r="F15" i="1" s="1"/>
  <c r="F16" i="1" s="1"/>
  <c r="D16" i="1"/>
  <c r="D11" i="1"/>
  <c r="D13" i="1" s="1"/>
  <c r="D12" i="1" l="1"/>
  <c r="F12" i="1" s="1"/>
  <c r="F13" i="1" s="1"/>
  <c r="F11" i="1"/>
  <c r="D8" i="1"/>
  <c r="D9" i="1" s="1"/>
  <c r="F9" i="1" s="1"/>
  <c r="F10" i="1" s="1"/>
  <c r="F8" i="1" l="1"/>
  <c r="D10" i="1"/>
</calcChain>
</file>

<file path=xl/sharedStrings.xml><?xml version="1.0" encoding="utf-8"?>
<sst xmlns="http://schemas.openxmlformats.org/spreadsheetml/2006/main" count="570" uniqueCount="83">
  <si>
    <t>STOCK MANAGEMENT</t>
    <phoneticPr fontId="3" type="noConversion"/>
  </si>
  <si>
    <t>Date of birth</t>
  </si>
  <si>
    <t>Male</t>
  </si>
  <si>
    <t>Female</t>
  </si>
  <si>
    <t>stock</t>
  </si>
  <si>
    <t>No. of cage</t>
  </si>
  <si>
    <t>No. of appoint</t>
  </si>
  <si>
    <t>rest</t>
  </si>
  <si>
    <t>adjust Cut</t>
  </si>
  <si>
    <t>remark</t>
  </si>
  <si>
    <t>1st half</t>
  </si>
  <si>
    <t>~</t>
    <phoneticPr fontId="3" type="noConversion"/>
  </si>
  <si>
    <t>2nd half</t>
  </si>
  <si>
    <t>Retire</t>
  </si>
  <si>
    <t>Total</t>
    <phoneticPr fontId="3" type="noConversion"/>
  </si>
  <si>
    <t xml:space="preserve"> </t>
    <phoneticPr fontId="3" type="noConversion"/>
  </si>
  <si>
    <t xml:space="preserve"> * 9주령 전반부 첫 날짜 변경시 전체적인 출생일 변경</t>
    <phoneticPr fontId="3" type="noConversion"/>
  </si>
  <si>
    <t xml:space="preserve"> * Male 기준 6주령이상 등급에 따른 주령별 체중 범위</t>
    <phoneticPr fontId="3" type="noConversion"/>
  </si>
  <si>
    <t xml:space="preserve">  1. 6주령 - S이하: 120 ~ 140g, S: 140 ~ 160g, M: 180 ~ 200g, L: 200 ~ 220g </t>
    <phoneticPr fontId="3" type="noConversion"/>
  </si>
  <si>
    <t xml:space="preserve">  2. 7주령 - S이하: 170 ~ 190g, S: 190 ~ 210g, M: 210 ~ 240g, L: 240 ~ 270g </t>
    <phoneticPr fontId="3" type="noConversion"/>
  </si>
  <si>
    <t xml:space="preserve">  3. 8주령 - S이하: 210 ~ 240g, S: 240 ~ 270g, M: 270 ~ 300g, L: 300 ~ 330g </t>
    <phoneticPr fontId="3" type="noConversion"/>
  </si>
  <si>
    <t xml:space="preserve">  4. 9주령 - S이하: 240 ~ 270g, S: 270 ~ 300g, M: 300 ~ 330g, L: 330 ~ 360g</t>
    <phoneticPr fontId="3" type="noConversion"/>
  </si>
  <si>
    <t xml:space="preserve"> * 주령별 체중 범위는 맞게 6주령이상 등급에 따른 마리수 기입. </t>
    <phoneticPr fontId="3" type="noConversion"/>
  </si>
  <si>
    <t xml:space="preserve"> * 충분한 재고(6주령)를 보유하고 있을 경우에는 7주령부터 등급에 따른 마리수 기입.</t>
    <phoneticPr fontId="3" type="noConversion"/>
  </si>
  <si>
    <r>
      <t xml:space="preserve">Area:   KP900   </t>
    </r>
    <r>
      <rPr>
        <b/>
        <sz val="12"/>
        <color indexed="8"/>
        <rFont val="궁서"/>
        <family val="1"/>
        <charset val="129"/>
      </rPr>
      <t xml:space="preserve">     </t>
    </r>
    <r>
      <rPr>
        <b/>
        <u/>
        <sz val="12"/>
        <color indexed="8"/>
        <rFont val="궁서"/>
        <family val="1"/>
        <charset val="129"/>
      </rPr>
      <t xml:space="preserve">Strain:   CD(SD)  </t>
    </r>
    <r>
      <rPr>
        <b/>
        <sz val="12"/>
        <color indexed="8"/>
        <rFont val="궁서"/>
        <family val="1"/>
        <charset val="129"/>
      </rPr>
      <t xml:space="preserve">       </t>
    </r>
    <r>
      <rPr>
        <b/>
        <u/>
        <sz val="12"/>
        <color indexed="8"/>
        <rFont val="궁서"/>
        <family val="1"/>
        <charset val="129"/>
      </rPr>
      <t xml:space="preserve">A responsible person : BOK-SOON SA </t>
    </r>
    <r>
      <rPr>
        <b/>
        <sz val="12"/>
        <color indexed="8"/>
        <rFont val="궁서"/>
        <family val="1"/>
        <charset val="129"/>
      </rPr>
      <t xml:space="preserve">      </t>
    </r>
    <r>
      <rPr>
        <b/>
        <u/>
        <sz val="12"/>
        <color indexed="8"/>
        <rFont val="궁서"/>
        <family val="1"/>
        <charset val="129"/>
      </rPr>
      <t>Date :   2021. 1. 4 (MON)</t>
    </r>
    <phoneticPr fontId="3" type="noConversion"/>
  </si>
  <si>
    <t>담당</t>
  </si>
  <si>
    <t>방장</t>
  </si>
  <si>
    <t>파트장</t>
  </si>
  <si>
    <t>생산팀장</t>
  </si>
  <si>
    <t>센터장</t>
  </si>
  <si>
    <t>Area:</t>
    <phoneticPr fontId="3" type="noConversion"/>
  </si>
  <si>
    <t xml:space="preserve">Strain: </t>
    <phoneticPr fontId="3" type="noConversion"/>
  </si>
  <si>
    <t>CD(SD)</t>
    <phoneticPr fontId="3" type="noConversion"/>
  </si>
  <si>
    <t xml:space="preserve"> A responsible person : </t>
  </si>
  <si>
    <t>Date :</t>
    <phoneticPr fontId="3" type="noConversion"/>
  </si>
  <si>
    <t xml:space="preserve">                operation            
age(week)</t>
    <phoneticPr fontId="3" type="noConversion"/>
  </si>
  <si>
    <t xml:space="preserve"> 3W</t>
    <phoneticPr fontId="3" type="noConversion"/>
  </si>
  <si>
    <t>~</t>
    <phoneticPr fontId="3" type="noConversion"/>
  </si>
  <si>
    <t xml:space="preserve"> 6W</t>
    <phoneticPr fontId="3" type="noConversion"/>
  </si>
  <si>
    <t>S이하:10</t>
  </si>
  <si>
    <t>S:10 M:20</t>
  </si>
  <si>
    <t>L:71</t>
  </si>
  <si>
    <t xml:space="preserve"> 8W</t>
    <phoneticPr fontId="3" type="noConversion"/>
  </si>
  <si>
    <t>S이하:</t>
  </si>
  <si>
    <t>S: M:</t>
  </si>
  <si>
    <t>L:11</t>
  </si>
  <si>
    <t xml:space="preserve"> 9W</t>
    <phoneticPr fontId="3" type="noConversion"/>
  </si>
  <si>
    <t xml:space="preserve"> 10W</t>
    <phoneticPr fontId="3" type="noConversion"/>
  </si>
  <si>
    <t>KP900</t>
    <phoneticPr fontId="3" type="noConversion"/>
  </si>
  <si>
    <t>~</t>
    <phoneticPr fontId="3" type="noConversion"/>
  </si>
  <si>
    <t xml:space="preserve"> 6W</t>
    <phoneticPr fontId="3" type="noConversion"/>
  </si>
  <si>
    <t xml:space="preserve"> 7W</t>
    <phoneticPr fontId="3" type="noConversion"/>
  </si>
  <si>
    <t xml:space="preserve"> 8W</t>
    <phoneticPr fontId="3" type="noConversion"/>
  </si>
  <si>
    <t xml:space="preserve"> 9W</t>
    <phoneticPr fontId="3" type="noConversion"/>
  </si>
  <si>
    <t xml:space="preserve"> 10W</t>
    <phoneticPr fontId="3" type="noConversion"/>
  </si>
  <si>
    <t>Total</t>
    <phoneticPr fontId="3" type="noConversion"/>
  </si>
  <si>
    <t>STOCK MANAGEMENT</t>
    <phoneticPr fontId="3" type="noConversion"/>
  </si>
  <si>
    <t xml:space="preserve"> 4W</t>
    <phoneticPr fontId="3" type="noConversion"/>
  </si>
  <si>
    <t xml:space="preserve"> 5W</t>
    <phoneticPr fontId="3" type="noConversion"/>
  </si>
  <si>
    <t>JAE-MIN PARK</t>
    <phoneticPr fontId="3" type="noConversion"/>
  </si>
  <si>
    <t xml:space="preserve"> </t>
    <phoneticPr fontId="2" type="noConversion"/>
  </si>
  <si>
    <t>CUT:5</t>
    <phoneticPr fontId="2" type="noConversion"/>
  </si>
  <si>
    <t>CUT:20</t>
    <phoneticPr fontId="2" type="noConversion"/>
  </si>
  <si>
    <t>2026. 1. 26 (MON)</t>
    <phoneticPr fontId="3" type="noConversion"/>
  </si>
  <si>
    <t>2026. 1. 27 (TUE)</t>
    <phoneticPr fontId="3" type="noConversion"/>
  </si>
  <si>
    <t>2026. 1. 28 (WED)</t>
    <phoneticPr fontId="3" type="noConversion"/>
  </si>
  <si>
    <t>2026. 1. 29 (THU)</t>
    <phoneticPr fontId="3" type="noConversion"/>
  </si>
  <si>
    <t>2026. 1. 30 (FRI)</t>
    <phoneticPr fontId="3" type="noConversion"/>
  </si>
  <si>
    <t>2026. 1.26 ~ 1.30</t>
    <phoneticPr fontId="3" type="noConversion"/>
  </si>
  <si>
    <t>CUT:(52)</t>
    <phoneticPr fontId="2" type="noConversion"/>
  </si>
  <si>
    <t>CUT:14</t>
    <phoneticPr fontId="2" type="noConversion"/>
  </si>
  <si>
    <t>CUT:52</t>
    <phoneticPr fontId="2" type="noConversion"/>
  </si>
  <si>
    <t>CUT:2</t>
    <phoneticPr fontId="2" type="noConversion"/>
  </si>
  <si>
    <t>CUT:1</t>
    <phoneticPr fontId="2" type="noConversion"/>
  </si>
  <si>
    <t>CUT:33</t>
    <phoneticPr fontId="2" type="noConversion"/>
  </si>
  <si>
    <t>CUT:83</t>
    <phoneticPr fontId="2" type="noConversion"/>
  </si>
  <si>
    <t>CUT:10</t>
    <phoneticPr fontId="2" type="noConversion"/>
  </si>
  <si>
    <t>CUT:150</t>
    <phoneticPr fontId="2" type="noConversion"/>
  </si>
  <si>
    <t>CUT:32</t>
    <phoneticPr fontId="2" type="noConversion"/>
  </si>
  <si>
    <t>stock
(전일재고)</t>
    <phoneticPr fontId="2" type="noConversion"/>
  </si>
  <si>
    <t>No. of appoint(선발)</t>
    <phoneticPr fontId="2" type="noConversion"/>
  </si>
  <si>
    <t>rest
(금일재고)</t>
    <phoneticPr fontId="2" type="noConversion"/>
  </si>
  <si>
    <t>adjust Cut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</si>
</sst>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m&quot;/&quot;d"/>
    <numFmt numFmtId="177" formatCode="_-* #,##0.0_-;\-* #,##0.0_-;_-* &quot;-&quot;_-;_-@_-"/>
  </numFmts>
  <fonts count="29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궁서"/>
      <family val="1"/>
      <charset val="129"/>
    </font>
    <font>
      <b/>
      <u/>
      <sz val="12"/>
      <color indexed="8"/>
      <name val="궁서"/>
      <family val="1"/>
      <charset val="129"/>
    </font>
    <font>
      <b/>
      <sz val="12"/>
      <color indexed="8"/>
      <name val="궁서"/>
      <family val="1"/>
      <charset val="129"/>
    </font>
    <font>
      <u/>
      <sz val="12"/>
      <color indexed="8"/>
      <name val="궁서"/>
      <family val="1"/>
      <charset val="129"/>
    </font>
    <font>
      <sz val="9"/>
      <color indexed="8"/>
      <name val="궁서"/>
      <family val="1"/>
      <charset val="129"/>
    </font>
    <font>
      <sz val="9"/>
      <name val="궁서"/>
      <family val="1"/>
      <charset val="129"/>
    </font>
    <font>
      <sz val="10"/>
      <color indexed="8"/>
      <name val="궁서"/>
      <family val="1"/>
      <charset val="129"/>
    </font>
    <font>
      <sz val="8"/>
      <color indexed="8"/>
      <name val="궁서"/>
      <family val="1"/>
      <charset val="129"/>
    </font>
    <font>
      <sz val="10"/>
      <name val="궁서"/>
      <family val="1"/>
      <charset val="129"/>
    </font>
    <font>
      <b/>
      <sz val="11"/>
      <name val="궁서"/>
      <family val="1"/>
      <charset val="129"/>
    </font>
    <font>
      <b/>
      <sz val="18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u/>
      <sz val="12"/>
      <color indexed="8"/>
      <name val="맑은 고딕"/>
      <family val="3"/>
      <charset val="129"/>
      <scheme val="minor"/>
    </font>
    <font>
      <u/>
      <sz val="12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8"/>
      <color indexed="8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9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 diagonalDown="1">
      <left style="thin">
        <color indexed="8"/>
      </left>
      <right/>
      <top/>
      <bottom/>
      <diagonal style="thin">
        <color indexed="8"/>
      </diagonal>
    </border>
    <border diagonalDown="1">
      <left/>
      <right/>
      <top/>
      <bottom/>
      <diagonal style="thin">
        <color indexed="8"/>
      </diagonal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 diagonalDown="1">
      <left style="thin">
        <color indexed="8"/>
      </left>
      <right/>
      <top/>
      <bottom style="thin">
        <color indexed="8"/>
      </bottom>
      <diagonal style="thin">
        <color indexed="8"/>
      </diagonal>
    </border>
    <border diagonalDown="1">
      <left/>
      <right/>
      <top/>
      <bottom style="thin">
        <color indexed="8"/>
      </bottom>
      <diagonal style="thin">
        <color indexed="8"/>
      </diagonal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 style="dotted">
        <color indexed="8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8"/>
      </right>
      <top style="thin">
        <color indexed="64"/>
      </top>
      <bottom style="dotted">
        <color indexed="64"/>
      </bottom>
      <diagonal/>
    </border>
    <border>
      <left/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/>
      <top style="thin">
        <color indexed="8"/>
      </top>
      <bottom style="dotted">
        <color indexed="8"/>
      </bottom>
      <diagonal/>
    </border>
    <border>
      <left style="thin">
        <color indexed="8"/>
      </left>
      <right style="double">
        <color indexed="8"/>
      </right>
      <top/>
      <bottom style="dotted">
        <color indexed="8"/>
      </bottom>
      <diagonal/>
    </border>
    <border>
      <left/>
      <right/>
      <top style="dotted">
        <color indexed="8"/>
      </top>
      <bottom style="dotted">
        <color indexed="8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8"/>
      </right>
      <top style="dotted">
        <color indexed="64"/>
      </top>
      <bottom style="dotted">
        <color indexed="64"/>
      </bottom>
      <diagonal/>
    </border>
    <border>
      <left/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double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dotted">
        <color indexed="8"/>
      </top>
      <bottom style="thin">
        <color indexed="8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8"/>
      </right>
      <top style="dotted">
        <color indexed="64"/>
      </top>
      <bottom/>
      <diagonal/>
    </border>
    <border>
      <left style="thin">
        <color indexed="8"/>
      </left>
      <right style="thin">
        <color indexed="8"/>
      </right>
      <top style="dotted">
        <color indexed="8"/>
      </top>
      <bottom/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tted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dotted">
        <color indexed="8"/>
      </bottom>
      <diagonal/>
    </border>
    <border>
      <left style="thin">
        <color indexed="64"/>
      </left>
      <right style="thin">
        <color indexed="64"/>
      </right>
      <top/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8"/>
      </right>
      <top style="dotted">
        <color indexed="64"/>
      </top>
      <bottom style="thin">
        <color indexed="64"/>
      </bottom>
      <diagonal/>
    </border>
    <border>
      <left style="thin">
        <color indexed="8"/>
      </left>
      <right style="double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8"/>
      </right>
      <top/>
      <bottom style="dotted">
        <color indexed="64"/>
      </bottom>
      <diagonal/>
    </border>
    <border>
      <left/>
      <right style="thin">
        <color indexed="8"/>
      </right>
      <top style="dotted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dotted">
        <color indexed="8"/>
      </bottom>
      <diagonal/>
    </border>
    <border>
      <left/>
      <right style="thin">
        <color indexed="8"/>
      </right>
      <top style="dotted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8"/>
      </left>
      <right/>
      <top style="thin">
        <color indexed="8"/>
      </top>
      <bottom/>
      <diagonal style="thin">
        <color indexed="8"/>
      </diagonal>
    </border>
    <border diagonalDown="1">
      <left/>
      <right/>
      <top style="thin">
        <color indexed="8"/>
      </top>
      <bottom/>
      <diagonal style="thin">
        <color indexed="8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double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tted">
        <color indexed="8"/>
      </bottom>
      <diagonal/>
    </border>
    <border>
      <left/>
      <right/>
      <top style="dotted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double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 diagonalDown="1">
      <left style="thin">
        <color indexed="8"/>
      </left>
      <right/>
      <top style="thin">
        <color indexed="64"/>
      </top>
      <bottom/>
      <diagonal style="thin">
        <color indexed="8"/>
      </diagonal>
    </border>
    <border diagonalDown="1">
      <left/>
      <right/>
      <top style="thin">
        <color indexed="64"/>
      </top>
      <bottom/>
      <diagonal style="thin">
        <color indexed="8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8"/>
      </diagonal>
    </border>
    <border diagonalDown="1">
      <left/>
      <right style="thin">
        <color indexed="64"/>
      </right>
      <top/>
      <bottom/>
      <diagonal style="thin">
        <color indexed="8"/>
      </diagonal>
    </border>
    <border diagonalDown="1">
      <left/>
      <right style="thin">
        <color indexed="64"/>
      </right>
      <top/>
      <bottom style="thin">
        <color indexed="8"/>
      </bottom>
      <diagonal style="thin">
        <color indexed="8"/>
      </diagonal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dotted">
        <color indexed="8"/>
      </top>
      <bottom style="thin">
        <color indexed="8"/>
      </bottom>
      <diagonal/>
    </border>
    <border>
      <left/>
      <right style="thin">
        <color indexed="64"/>
      </right>
      <top style="dotted">
        <color indexed="8"/>
      </top>
      <bottom style="dotted">
        <color indexed="8"/>
      </bottom>
      <diagonal/>
    </border>
    <border>
      <left/>
      <right style="thin">
        <color indexed="64"/>
      </right>
      <top style="thin">
        <color indexed="8"/>
      </top>
      <bottom style="dotted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9">
    <xf numFmtId="0" fontId="0" fillId="0" borderId="0" xfId="0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9" fillId="0" borderId="2" xfId="1" applyFont="1" applyBorder="1">
      <alignment vertical="center"/>
    </xf>
    <xf numFmtId="0" fontId="9" fillId="0" borderId="0" xfId="1" applyFont="1">
      <alignment vertical="center"/>
    </xf>
    <xf numFmtId="0" fontId="4" fillId="0" borderId="0" xfId="2" applyFont="1">
      <alignment vertical="center"/>
    </xf>
    <xf numFmtId="0" fontId="13" fillId="0" borderId="0" xfId="1" applyFont="1">
      <alignment vertical="center"/>
    </xf>
    <xf numFmtId="41" fontId="10" fillId="0" borderId="0" xfId="1" applyNumberFormat="1" applyFont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5" fillId="0" borderId="61" xfId="3" applyFont="1" applyBorder="1" applyAlignment="1">
      <alignment horizontal="center" vertical="center"/>
    </xf>
    <xf numFmtId="0" fontId="16" fillId="0" borderId="0" xfId="3" applyFont="1">
      <alignment vertical="center"/>
    </xf>
    <xf numFmtId="0" fontId="18" fillId="0" borderId="0" xfId="3" applyFont="1" applyAlignment="1">
      <alignment horizontal="left" vertical="center"/>
    </xf>
    <xf numFmtId="0" fontId="18" fillId="0" borderId="1" xfId="3" applyFont="1" applyBorder="1" applyAlignment="1">
      <alignment horizontal="left" vertical="center"/>
    </xf>
    <xf numFmtId="0" fontId="17" fillId="0" borderId="1" xfId="3" applyFont="1" applyBorder="1" applyAlignment="1">
      <alignment horizontal="left" vertical="center"/>
    </xf>
    <xf numFmtId="0" fontId="16" fillId="0" borderId="1" xfId="3" applyFont="1" applyBorder="1" applyAlignment="1">
      <alignment horizontal="left" vertical="center"/>
    </xf>
    <xf numFmtId="0" fontId="16" fillId="0" borderId="0" xfId="3" applyFont="1" applyAlignment="1">
      <alignment horizontal="left" vertical="center"/>
    </xf>
    <xf numFmtId="0" fontId="19" fillId="0" borderId="1" xfId="3" applyFont="1" applyBorder="1" applyAlignment="1">
      <alignment horizontal="left" vertical="center"/>
    </xf>
    <xf numFmtId="0" fontId="22" fillId="0" borderId="2" xfId="3" applyFont="1" applyBorder="1">
      <alignment vertical="center"/>
    </xf>
    <xf numFmtId="0" fontId="22" fillId="0" borderId="0" xfId="3" applyFont="1">
      <alignment vertical="center"/>
    </xf>
    <xf numFmtId="176" fontId="22" fillId="0" borderId="15" xfId="3" applyNumberFormat="1" applyFont="1" applyBorder="1" applyAlignment="1">
      <alignment horizontal="center" vertical="center"/>
    </xf>
    <xf numFmtId="176" fontId="22" fillId="0" borderId="16" xfId="3" applyNumberFormat="1" applyFont="1" applyBorder="1" applyAlignment="1">
      <alignment horizontal="center" vertical="center"/>
    </xf>
    <xf numFmtId="176" fontId="22" fillId="0" borderId="17" xfId="3" applyNumberFormat="1" applyFont="1" applyBorder="1" applyAlignment="1">
      <alignment horizontal="center" vertical="center"/>
    </xf>
    <xf numFmtId="41" fontId="21" fillId="0" borderId="29" xfId="3" applyNumberFormat="1" applyFont="1" applyBorder="1" applyAlignment="1">
      <alignment horizontal="center" vertical="center" wrapText="1"/>
    </xf>
    <xf numFmtId="41" fontId="21" fillId="2" borderId="19" xfId="3" applyNumberFormat="1" applyFont="1" applyFill="1" applyBorder="1" applyAlignment="1">
      <alignment horizontal="center" vertical="center" wrapText="1"/>
    </xf>
    <xf numFmtId="41" fontId="21" fillId="0" borderId="21" xfId="3" applyNumberFormat="1" applyFont="1" applyBorder="1" applyAlignment="1">
      <alignment horizontal="center" vertical="center" wrapText="1"/>
    </xf>
    <xf numFmtId="176" fontId="22" fillId="0" borderId="23" xfId="3" applyNumberFormat="1" applyFont="1" applyBorder="1" applyAlignment="1">
      <alignment horizontal="center" vertical="center"/>
    </xf>
    <xf numFmtId="176" fontId="22" fillId="0" borderId="24" xfId="3" applyNumberFormat="1" applyFont="1" applyBorder="1" applyAlignment="1">
      <alignment horizontal="center" vertical="center"/>
    </xf>
    <xf numFmtId="176" fontId="22" fillId="0" borderId="25" xfId="3" applyNumberFormat="1" applyFont="1" applyBorder="1" applyAlignment="1">
      <alignment horizontal="center" vertical="center"/>
    </xf>
    <xf numFmtId="176" fontId="22" fillId="0" borderId="33" xfId="3" applyNumberFormat="1" applyFont="1" applyBorder="1" applyAlignment="1">
      <alignment horizontal="center" vertical="center"/>
    </xf>
    <xf numFmtId="176" fontId="22" fillId="0" borderId="34" xfId="3" applyNumberFormat="1" applyFont="1" applyBorder="1" applyAlignment="1">
      <alignment horizontal="center" vertical="center"/>
    </xf>
    <xf numFmtId="176" fontId="22" fillId="0" borderId="35" xfId="3" applyNumberFormat="1" applyFont="1" applyBorder="1" applyAlignment="1">
      <alignment horizontal="center" vertical="center"/>
    </xf>
    <xf numFmtId="41" fontId="21" fillId="0" borderId="37" xfId="3" applyNumberFormat="1" applyFont="1" applyBorder="1" applyAlignment="1">
      <alignment horizontal="center" vertical="center" wrapText="1"/>
    </xf>
    <xf numFmtId="41" fontId="21" fillId="0" borderId="36" xfId="3" applyNumberFormat="1" applyFont="1" applyBorder="1" applyAlignment="1">
      <alignment horizontal="center" vertical="center" wrapText="1"/>
    </xf>
    <xf numFmtId="41" fontId="21" fillId="0" borderId="52" xfId="3" applyNumberFormat="1" applyFont="1" applyBorder="1" applyAlignment="1">
      <alignment horizontal="center" vertical="center" wrapText="1"/>
    </xf>
    <xf numFmtId="41" fontId="21" fillId="2" borderId="41" xfId="3" applyNumberFormat="1" applyFont="1" applyFill="1" applyBorder="1" applyAlignment="1">
      <alignment horizontal="center" vertical="center" wrapText="1"/>
    </xf>
    <xf numFmtId="176" fontId="22" fillId="0" borderId="43" xfId="3" applyNumberFormat="1" applyFont="1" applyBorder="1" applyAlignment="1">
      <alignment horizontal="center" vertical="center"/>
    </xf>
    <xf numFmtId="176" fontId="22" fillId="0" borderId="44" xfId="3" applyNumberFormat="1" applyFont="1" applyBorder="1" applyAlignment="1">
      <alignment horizontal="center" vertical="center"/>
    </xf>
    <xf numFmtId="176" fontId="22" fillId="0" borderId="45" xfId="3" applyNumberFormat="1" applyFont="1" applyBorder="1" applyAlignment="1">
      <alignment horizontal="center" vertical="center"/>
    </xf>
    <xf numFmtId="41" fontId="21" fillId="0" borderId="46" xfId="3" applyNumberFormat="1" applyFont="1" applyBorder="1" applyAlignment="1">
      <alignment horizontal="center" vertical="center" wrapText="1"/>
    </xf>
    <xf numFmtId="176" fontId="22" fillId="0" borderId="47" xfId="3" applyNumberFormat="1" applyFont="1" applyBorder="1" applyAlignment="1">
      <alignment horizontal="center" vertical="center"/>
    </xf>
    <xf numFmtId="176" fontId="22" fillId="0" borderId="48" xfId="3" applyNumberFormat="1" applyFont="1" applyBorder="1" applyAlignment="1">
      <alignment horizontal="center" vertical="center"/>
    </xf>
    <xf numFmtId="176" fontId="22" fillId="0" borderId="49" xfId="3" applyNumberFormat="1" applyFont="1" applyBorder="1" applyAlignment="1">
      <alignment horizontal="center" vertical="center"/>
    </xf>
    <xf numFmtId="41" fontId="21" fillId="0" borderId="51" xfId="3" applyNumberFormat="1" applyFont="1" applyBorder="1" applyAlignment="1">
      <alignment horizontal="center" vertical="center" wrapText="1"/>
    </xf>
    <xf numFmtId="176" fontId="16" fillId="0" borderId="15" xfId="3" applyNumberFormat="1" applyFont="1" applyBorder="1">
      <alignment vertical="center"/>
    </xf>
    <xf numFmtId="176" fontId="16" fillId="0" borderId="16" xfId="3" applyNumberFormat="1" applyFont="1" applyBorder="1">
      <alignment vertical="center"/>
    </xf>
    <xf numFmtId="176" fontId="16" fillId="0" borderId="17" xfId="3" applyNumberFormat="1" applyFont="1" applyBorder="1">
      <alignment vertical="center"/>
    </xf>
    <xf numFmtId="0" fontId="20" fillId="0" borderId="43" xfId="3" applyFont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41" fontId="21" fillId="2" borderId="11" xfId="3" applyNumberFormat="1" applyFont="1" applyFill="1" applyBorder="1" applyAlignment="1">
      <alignment horizontal="center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55" xfId="3" applyFont="1" applyBorder="1" applyAlignment="1">
      <alignment horizontal="center" vertical="center" wrapText="1"/>
    </xf>
    <xf numFmtId="0" fontId="21" fillId="0" borderId="56" xfId="3" applyFont="1" applyBorder="1" applyAlignment="1">
      <alignment horizontal="left" vertical="center" wrapText="1"/>
    </xf>
    <xf numFmtId="41" fontId="21" fillId="0" borderId="11" xfId="3" applyNumberFormat="1" applyFont="1" applyBorder="1" applyAlignment="1">
      <alignment horizontal="center" vertical="center" wrapText="1"/>
    </xf>
    <xf numFmtId="41" fontId="21" fillId="2" borderId="57" xfId="3" applyNumberFormat="1" applyFont="1" applyFill="1" applyBorder="1" applyAlignment="1">
      <alignment horizontal="center" vertical="center" wrapText="1"/>
    </xf>
    <xf numFmtId="41" fontId="21" fillId="0" borderId="57" xfId="3" applyNumberFormat="1" applyFont="1" applyBorder="1" applyAlignment="1">
      <alignment horizontal="center" vertical="center" wrapText="1"/>
    </xf>
    <xf numFmtId="41" fontId="21" fillId="0" borderId="12" xfId="3" applyNumberFormat="1" applyFont="1" applyBorder="1" applyAlignment="1">
      <alignment horizontal="center" vertical="center" wrapText="1"/>
    </xf>
    <xf numFmtId="41" fontId="21" fillId="0" borderId="56" xfId="3" applyNumberFormat="1" applyFont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41" fontId="21" fillId="0" borderId="59" xfId="3" applyNumberFormat="1" applyFont="1" applyBorder="1" applyAlignment="1">
      <alignment horizontal="center" vertical="center" wrapText="1"/>
    </xf>
    <xf numFmtId="41" fontId="25" fillId="0" borderId="19" xfId="4" applyNumberFormat="1" applyFont="1" applyBorder="1" applyAlignment="1">
      <alignment horizontal="center" vertical="center" wrapText="1"/>
    </xf>
    <xf numFmtId="41" fontId="26" fillId="0" borderId="19" xfId="4" applyNumberFormat="1" applyFont="1" applyBorder="1" applyAlignment="1">
      <alignment horizontal="center" vertical="center" wrapText="1"/>
    </xf>
    <xf numFmtId="41" fontId="25" fillId="2" borderId="29" xfId="4" applyNumberFormat="1" applyFont="1" applyFill="1" applyBorder="1" applyAlignment="1">
      <alignment horizontal="center" vertical="center" wrapText="1"/>
    </xf>
    <xf numFmtId="41" fontId="25" fillId="0" borderId="18" xfId="4" applyNumberFormat="1" applyFont="1" applyBorder="1" applyAlignment="1">
      <alignment horizontal="center" vertical="center" wrapText="1"/>
    </xf>
    <xf numFmtId="41" fontId="27" fillId="0" borderId="21" xfId="4" applyNumberFormat="1" applyFont="1" applyBorder="1" applyAlignment="1">
      <alignment horizontal="left" vertical="center" wrapText="1"/>
    </xf>
    <xf numFmtId="41" fontId="25" fillId="0" borderId="20" xfId="4" applyNumberFormat="1" applyFont="1" applyBorder="1" applyAlignment="1">
      <alignment horizontal="center" vertical="center" wrapText="1"/>
    </xf>
    <xf numFmtId="41" fontId="25" fillId="0" borderId="27" xfId="4" applyNumberFormat="1" applyFont="1" applyBorder="1" applyAlignment="1">
      <alignment horizontal="center" vertical="center" wrapText="1"/>
    </xf>
    <xf numFmtId="41" fontId="26" fillId="0" borderId="27" xfId="4" applyNumberFormat="1" applyFont="1" applyBorder="1" applyAlignment="1">
      <alignment horizontal="center" vertical="center" wrapText="1"/>
    </xf>
    <xf numFmtId="41" fontId="25" fillId="0" borderId="26" xfId="4" applyNumberFormat="1" applyFont="1" applyBorder="1" applyAlignment="1">
      <alignment horizontal="center" vertical="center" wrapText="1"/>
    </xf>
    <xf numFmtId="41" fontId="27" fillId="0" borderId="30" xfId="4" applyNumberFormat="1" applyFont="1" applyBorder="1" applyAlignment="1">
      <alignment horizontal="center" vertical="center" wrapText="1"/>
    </xf>
    <xf numFmtId="41" fontId="25" fillId="0" borderId="28" xfId="4" applyNumberFormat="1" applyFont="1" applyBorder="1" applyAlignment="1">
      <alignment horizontal="center" vertical="center" wrapText="1"/>
    </xf>
    <xf numFmtId="41" fontId="25" fillId="0" borderId="37" xfId="4" applyNumberFormat="1" applyFont="1" applyBorder="1" applyAlignment="1">
      <alignment horizontal="center" vertical="center" wrapText="1"/>
    </xf>
    <xf numFmtId="41" fontId="26" fillId="0" borderId="37" xfId="4" applyNumberFormat="1" applyFont="1" applyBorder="1" applyAlignment="1">
      <alignment horizontal="center" vertical="center" wrapText="1"/>
    </xf>
    <xf numFmtId="41" fontId="25" fillId="2" borderId="37" xfId="4" applyNumberFormat="1" applyFont="1" applyFill="1" applyBorder="1" applyAlignment="1">
      <alignment horizontal="center" vertical="center" wrapText="1"/>
    </xf>
    <xf numFmtId="41" fontId="25" fillId="0" borderId="36" xfId="4" applyNumberFormat="1" applyFont="1" applyBorder="1" applyAlignment="1">
      <alignment horizontal="center" vertical="center" wrapText="1"/>
    </xf>
    <xf numFmtId="41" fontId="25" fillId="0" borderId="38" xfId="4" applyNumberFormat="1" applyFont="1" applyBorder="1" applyAlignment="1">
      <alignment horizontal="center" vertical="center" wrapText="1"/>
    </xf>
    <xf numFmtId="41" fontId="25" fillId="2" borderId="19" xfId="4" applyNumberFormat="1" applyFont="1" applyFill="1" applyBorder="1" applyAlignment="1">
      <alignment horizontal="center" vertical="center" wrapText="1"/>
    </xf>
    <xf numFmtId="41" fontId="27" fillId="0" borderId="39" xfId="4" applyNumberFormat="1" applyFont="1" applyBorder="1" applyAlignment="1">
      <alignment horizontal="left" vertical="center" wrapText="1"/>
    </xf>
    <xf numFmtId="41" fontId="25" fillId="0" borderId="46" xfId="4" applyNumberFormat="1" applyFont="1" applyBorder="1" applyAlignment="1">
      <alignment horizontal="left" vertical="center" wrapText="1"/>
    </xf>
    <xf numFmtId="41" fontId="25" fillId="3" borderId="19" xfId="4" applyNumberFormat="1" applyFont="1" applyFill="1" applyBorder="1" applyAlignment="1">
      <alignment horizontal="center" vertical="center" wrapText="1"/>
    </xf>
    <xf numFmtId="41" fontId="26" fillId="0" borderId="29" xfId="4" applyNumberFormat="1" applyFont="1" applyBorder="1" applyAlignment="1">
      <alignment horizontal="center" vertical="center" wrapText="1"/>
    </xf>
    <xf numFmtId="41" fontId="25" fillId="0" borderId="29" xfId="4" applyNumberFormat="1" applyFont="1" applyBorder="1" applyAlignment="1">
      <alignment horizontal="center" vertical="center" wrapText="1"/>
    </xf>
    <xf numFmtId="41" fontId="25" fillId="0" borderId="51" xfId="4" applyNumberFormat="1" applyFont="1" applyBorder="1" applyAlignment="1">
      <alignment horizontal="center" vertical="center" wrapText="1"/>
    </xf>
    <xf numFmtId="41" fontId="25" fillId="3" borderId="29" xfId="4" applyNumberFormat="1" applyFont="1" applyFill="1" applyBorder="1" applyAlignment="1">
      <alignment horizontal="center" vertical="center" wrapText="1"/>
    </xf>
    <xf numFmtId="41" fontId="25" fillId="0" borderId="21" xfId="4" applyNumberFormat="1" applyFont="1" applyBorder="1" applyAlignment="1">
      <alignment horizontal="left" vertical="center" wrapText="1"/>
    </xf>
    <xf numFmtId="41" fontId="25" fillId="3" borderId="37" xfId="4" applyNumberFormat="1" applyFont="1" applyFill="1" applyBorder="1" applyAlignment="1">
      <alignment horizontal="center" vertical="center" wrapText="1"/>
    </xf>
    <xf numFmtId="41" fontId="26" fillId="0" borderId="19" xfId="4" applyNumberFormat="1" applyFont="1" applyBorder="1" applyAlignment="1">
      <alignment horizontal="left" vertical="center" wrapText="1"/>
    </xf>
    <xf numFmtId="41" fontId="26" fillId="0" borderId="27" xfId="4" applyNumberFormat="1" applyFont="1" applyBorder="1" applyAlignment="1">
      <alignment horizontal="left" vertical="center" wrapText="1"/>
    </xf>
    <xf numFmtId="41" fontId="25" fillId="3" borderId="74" xfId="4" applyNumberFormat="1" applyFont="1" applyFill="1" applyBorder="1" applyAlignment="1">
      <alignment horizontal="center" vertical="center" wrapText="1"/>
    </xf>
    <xf numFmtId="41" fontId="25" fillId="3" borderId="42" xfId="4" applyNumberFormat="1" applyFont="1" applyFill="1" applyBorder="1" applyAlignment="1">
      <alignment horizontal="center" vertical="center" wrapText="1"/>
    </xf>
    <xf numFmtId="41" fontId="25" fillId="0" borderId="38" xfId="4" applyNumberFormat="1" applyFont="1" applyBorder="1" applyAlignment="1">
      <alignment horizontal="left" vertical="center" wrapText="1"/>
    </xf>
    <xf numFmtId="41" fontId="25" fillId="3" borderId="60" xfId="4" applyNumberFormat="1" applyFont="1" applyFill="1" applyBorder="1" applyAlignment="1">
      <alignment horizontal="center" vertical="center" wrapText="1"/>
    </xf>
    <xf numFmtId="41" fontId="26" fillId="0" borderId="37" xfId="4" applyNumberFormat="1" applyFont="1" applyBorder="1" applyAlignment="1">
      <alignment horizontal="left" vertical="center" wrapText="1"/>
    </xf>
    <xf numFmtId="41" fontId="25" fillId="0" borderId="46" xfId="4" applyNumberFormat="1" applyFont="1" applyBorder="1" applyAlignment="1">
      <alignment horizontal="center" vertical="center" wrapText="1"/>
    </xf>
    <xf numFmtId="41" fontId="21" fillId="0" borderId="57" xfId="4" applyNumberFormat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11" fillId="0" borderId="2" xfId="1" applyFont="1" applyBorder="1" applyAlignment="1">
      <alignment horizontal="justify" vertical="center" wrapText="1"/>
    </xf>
    <xf numFmtId="0" fontId="20" fillId="0" borderId="54" xfId="3" applyFont="1" applyBorder="1" applyAlignment="1">
      <alignment horizontal="center" vertical="center" wrapText="1"/>
    </xf>
    <xf numFmtId="177" fontId="21" fillId="0" borderId="29" xfId="3" applyNumberFormat="1" applyFont="1" applyBorder="1" applyAlignment="1">
      <alignment horizontal="center" vertical="center" wrapText="1"/>
    </xf>
    <xf numFmtId="41" fontId="21" fillId="0" borderId="18" xfId="3" applyNumberFormat="1" applyFont="1" applyBorder="1" applyAlignment="1">
      <alignment horizontal="center" vertical="center" wrapText="1"/>
    </xf>
    <xf numFmtId="41" fontId="21" fillId="0" borderId="19" xfId="3" applyNumberFormat="1" applyFont="1" applyBorder="1" applyAlignment="1">
      <alignment horizontal="center" vertical="center" wrapText="1"/>
    </xf>
    <xf numFmtId="41" fontId="21" fillId="0" borderId="20" xfId="3" applyNumberFormat="1" applyFont="1" applyBorder="1" applyAlignment="1">
      <alignment horizontal="center" vertical="center" wrapText="1"/>
    </xf>
    <xf numFmtId="41" fontId="21" fillId="0" borderId="27" xfId="3" applyNumberFormat="1" applyFont="1" applyBorder="1" applyAlignment="1">
      <alignment horizontal="center" vertical="center" wrapText="1"/>
    </xf>
    <xf numFmtId="41" fontId="21" fillId="2" borderId="29" xfId="3" applyNumberFormat="1" applyFont="1" applyFill="1" applyBorder="1" applyAlignment="1">
      <alignment horizontal="center" vertical="center" wrapText="1"/>
    </xf>
    <xf numFmtId="41" fontId="21" fillId="0" borderId="26" xfId="3" applyNumberFormat="1" applyFont="1" applyBorder="1" applyAlignment="1">
      <alignment horizontal="center" vertical="center" wrapText="1"/>
    </xf>
    <xf numFmtId="41" fontId="21" fillId="0" borderId="30" xfId="3" applyNumberFormat="1" applyFont="1" applyBorder="1" applyAlignment="1">
      <alignment horizontal="center" vertical="center" wrapText="1"/>
    </xf>
    <xf numFmtId="41" fontId="21" fillId="0" borderId="28" xfId="3" applyNumberFormat="1" applyFont="1" applyBorder="1" applyAlignment="1">
      <alignment horizontal="center" vertical="center" wrapText="1"/>
    </xf>
    <xf numFmtId="41" fontId="21" fillId="2" borderId="37" xfId="3" applyNumberFormat="1" applyFont="1" applyFill="1" applyBorder="1" applyAlignment="1">
      <alignment horizontal="center" vertical="center" wrapText="1"/>
    </xf>
    <xf numFmtId="41" fontId="21" fillId="0" borderId="38" xfId="3" applyNumberFormat="1" applyFont="1" applyBorder="1" applyAlignment="1">
      <alignment horizontal="center" vertical="center" wrapText="1"/>
    </xf>
    <xf numFmtId="41" fontId="21" fillId="0" borderId="39" xfId="3" applyNumberFormat="1" applyFont="1" applyBorder="1" applyAlignment="1">
      <alignment horizontal="left" vertical="center" wrapText="1"/>
    </xf>
    <xf numFmtId="41" fontId="21" fillId="2" borderId="40" xfId="3" applyNumberFormat="1" applyFont="1" applyFill="1" applyBorder="1" applyAlignment="1">
      <alignment horizontal="center" vertical="center" wrapText="1"/>
    </xf>
    <xf numFmtId="41" fontId="21" fillId="0" borderId="50" xfId="3" applyNumberFormat="1" applyFont="1" applyBorder="1" applyAlignment="1">
      <alignment horizontal="center" vertical="center" wrapText="1"/>
    </xf>
    <xf numFmtId="41" fontId="21" fillId="2" borderId="36" xfId="3" applyNumberFormat="1" applyFont="1" applyFill="1" applyBorder="1" applyAlignment="1">
      <alignment horizontal="center" vertical="center" wrapText="1"/>
    </xf>
    <xf numFmtId="41" fontId="21" fillId="0" borderId="39" xfId="3" applyNumberFormat="1" applyFont="1" applyBorder="1" applyAlignment="1">
      <alignment horizontal="left" wrapText="1"/>
    </xf>
    <xf numFmtId="41" fontId="20" fillId="0" borderId="30" xfId="3" applyNumberFormat="1" applyFont="1" applyBorder="1" applyAlignment="1">
      <alignment horizontal="left" vertical="top" wrapText="1"/>
    </xf>
    <xf numFmtId="41" fontId="21" fillId="0" borderId="46" xfId="3" applyNumberFormat="1" applyFont="1" applyBorder="1" applyAlignment="1">
      <alignment horizontal="left" vertical="center" wrapText="1"/>
    </xf>
    <xf numFmtId="41" fontId="21" fillId="0" borderId="29" xfId="3" applyNumberFormat="1" applyFont="1" applyBorder="1" applyAlignment="1">
      <alignment horizontal="left" vertical="center" wrapText="1"/>
    </xf>
    <xf numFmtId="41" fontId="20" fillId="0" borderId="21" xfId="3" applyNumberFormat="1" applyFont="1" applyBorder="1" applyAlignment="1">
      <alignment horizontal="left" vertical="center" wrapText="1"/>
    </xf>
    <xf numFmtId="41" fontId="21" fillId="0" borderId="27" xfId="3" applyNumberFormat="1" applyFont="1" applyBorder="1" applyAlignment="1">
      <alignment horizontal="left" vertical="center" wrapText="1"/>
    </xf>
    <xf numFmtId="41" fontId="21" fillId="0" borderId="30" xfId="3" applyNumberFormat="1" applyFont="1" applyBorder="1" applyAlignment="1">
      <alignment horizontal="left" vertical="center" wrapText="1"/>
    </xf>
    <xf numFmtId="41" fontId="21" fillId="0" borderId="36" xfId="3" applyNumberFormat="1" applyFont="1" applyBorder="1" applyAlignment="1">
      <alignment horizontal="left" vertical="center" wrapText="1"/>
    </xf>
    <xf numFmtId="41" fontId="21" fillId="0" borderId="38" xfId="3" applyNumberFormat="1" applyFont="1" applyBorder="1" applyAlignment="1">
      <alignment horizontal="left" vertical="center" wrapText="1"/>
    </xf>
    <xf numFmtId="41" fontId="21" fillId="0" borderId="19" xfId="3" applyNumberFormat="1" applyFont="1" applyBorder="1" applyAlignment="1">
      <alignment horizontal="left" vertical="center" wrapText="1"/>
    </xf>
    <xf numFmtId="41" fontId="20" fillId="0" borderId="39" xfId="3" applyNumberFormat="1" applyFont="1" applyBorder="1" applyAlignment="1">
      <alignment horizontal="left" vertical="center" wrapText="1"/>
    </xf>
    <xf numFmtId="41" fontId="21" fillId="0" borderId="36" xfId="3" applyNumberFormat="1" applyFont="1" applyBorder="1" applyAlignment="1">
      <alignment vertical="center" wrapText="1"/>
    </xf>
    <xf numFmtId="41" fontId="20" fillId="0" borderId="38" xfId="3" applyNumberFormat="1" applyFont="1" applyBorder="1" applyAlignment="1">
      <alignment horizontal="left" vertical="center" wrapText="1"/>
    </xf>
    <xf numFmtId="41" fontId="21" fillId="0" borderId="39" xfId="3" applyNumberFormat="1" applyFont="1" applyBorder="1" applyAlignment="1">
      <alignment horizontal="center" vertical="center" wrapText="1"/>
    </xf>
    <xf numFmtId="41" fontId="21" fillId="0" borderId="37" xfId="3" applyNumberFormat="1" applyFont="1" applyBorder="1" applyAlignment="1">
      <alignment horizontal="left" vertical="center" wrapText="1"/>
    </xf>
    <xf numFmtId="0" fontId="28" fillId="0" borderId="0" xfId="3" applyFont="1">
      <alignment vertical="center"/>
    </xf>
    <xf numFmtId="41" fontId="25" fillId="0" borderId="39" xfId="4" applyNumberFormat="1" applyFont="1" applyBorder="1" applyAlignment="1">
      <alignment horizontal="left" vertical="center" wrapText="1"/>
    </xf>
    <xf numFmtId="41" fontId="25" fillId="0" borderId="30" xfId="4" applyNumberFormat="1" applyFont="1" applyBorder="1" applyAlignment="1">
      <alignment horizontal="left" vertical="center" wrapText="1"/>
    </xf>
    <xf numFmtId="0" fontId="23" fillId="0" borderId="2" xfId="3" applyFont="1" applyBorder="1" applyAlignment="1">
      <alignment vertical="center" wrapText="1"/>
    </xf>
    <xf numFmtId="0" fontId="21" fillId="0" borderId="2" xfId="3" applyFont="1" applyBorder="1" applyAlignment="1">
      <alignment vertical="center" wrapText="1"/>
    </xf>
    <xf numFmtId="41" fontId="26" fillId="0" borderId="39" xfId="4" applyNumberFormat="1" applyFont="1" applyBorder="1" applyAlignment="1">
      <alignment horizontal="left" vertical="center" wrapText="1"/>
    </xf>
    <xf numFmtId="0" fontId="14" fillId="0" borderId="0" xfId="3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17" fillId="0" borderId="0" xfId="3" applyFont="1" applyAlignment="1">
      <alignment horizontal="right" vertical="center"/>
    </xf>
    <xf numFmtId="41" fontId="25" fillId="0" borderId="7" xfId="4" applyNumberFormat="1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21" fillId="0" borderId="60" xfId="3" applyFont="1" applyBorder="1" applyAlignment="1">
      <alignment horizontal="center" vertical="center" wrapText="1"/>
    </xf>
    <xf numFmtId="0" fontId="21" fillId="2" borderId="7" xfId="3" applyFont="1" applyFill="1" applyBorder="1" applyAlignment="1">
      <alignment horizontal="center" vertical="center" wrapText="1"/>
    </xf>
    <xf numFmtId="0" fontId="21" fillId="2" borderId="11" xfId="3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/>
    </xf>
    <xf numFmtId="0" fontId="20" fillId="0" borderId="62" xfId="3" applyFont="1" applyBorder="1" applyAlignment="1">
      <alignment vertical="center" wrapText="1"/>
    </xf>
    <xf numFmtId="0" fontId="20" fillId="0" borderId="63" xfId="3" applyFont="1" applyBorder="1" applyAlignment="1">
      <alignment vertical="center" wrapText="1"/>
    </xf>
    <xf numFmtId="0" fontId="20" fillId="0" borderId="3" xfId="3" applyFont="1" applyBorder="1" applyAlignment="1">
      <alignment vertical="center" wrapText="1"/>
    </xf>
    <xf numFmtId="0" fontId="20" fillId="0" borderId="4" xfId="3" applyFont="1" applyBorder="1" applyAlignment="1">
      <alignment vertical="center" wrapText="1"/>
    </xf>
    <xf numFmtId="0" fontId="20" fillId="0" borderId="9" xfId="3" applyFont="1" applyBorder="1" applyAlignment="1">
      <alignment vertical="center" wrapText="1"/>
    </xf>
    <xf numFmtId="0" fontId="20" fillId="0" borderId="10" xfId="3" applyFont="1" applyBorder="1" applyAlignment="1">
      <alignment vertical="center" wrapText="1"/>
    </xf>
    <xf numFmtId="0" fontId="21" fillId="0" borderId="64" xfId="3" applyFont="1" applyBorder="1" applyAlignment="1">
      <alignment horizontal="center" vertical="center" wrapText="1"/>
    </xf>
    <xf numFmtId="0" fontId="21" fillId="0" borderId="65" xfId="3" applyFont="1" applyBorder="1" applyAlignment="1">
      <alignment horizontal="center" vertical="center" wrapText="1"/>
    </xf>
    <xf numFmtId="0" fontId="21" fillId="0" borderId="69" xfId="3" applyFont="1" applyBorder="1" applyAlignment="1">
      <alignment horizontal="center" vertical="center" wrapText="1"/>
    </xf>
    <xf numFmtId="0" fontId="21" fillId="0" borderId="70" xfId="3" applyFont="1" applyBorder="1" applyAlignment="1">
      <alignment horizontal="center" vertical="center" wrapText="1"/>
    </xf>
    <xf numFmtId="0" fontId="21" fillId="0" borderId="66" xfId="3" applyFont="1" applyBorder="1" applyAlignment="1">
      <alignment horizontal="center" vertical="center" wrapText="1"/>
    </xf>
    <xf numFmtId="0" fontId="21" fillId="0" borderId="67" xfId="3" applyFont="1" applyBorder="1" applyAlignment="1">
      <alignment horizontal="center" vertical="center" wrapText="1"/>
    </xf>
    <xf numFmtId="0" fontId="21" fillId="0" borderId="68" xfId="3" applyFont="1" applyBorder="1" applyAlignment="1">
      <alignment horizontal="center" vertical="center" wrapText="1"/>
    </xf>
    <xf numFmtId="0" fontId="21" fillId="0" borderId="0" xfId="3" applyFont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21" fillId="0" borderId="71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center" vertical="center" wrapText="1"/>
    </xf>
    <xf numFmtId="0" fontId="14" fillId="0" borderId="0" xfId="3" applyFont="1" applyAlignment="1">
      <alignment horizontal="center" vertical="center"/>
    </xf>
    <xf numFmtId="0" fontId="14" fillId="0" borderId="75" xfId="3" applyFont="1" applyBorder="1" applyAlignment="1">
      <alignment horizontal="center" vertical="center"/>
    </xf>
    <xf numFmtId="0" fontId="20" fillId="0" borderId="13" xfId="3" applyFont="1" applyBorder="1" applyAlignment="1">
      <alignment horizontal="justify" vertical="center" wrapText="1"/>
    </xf>
    <xf numFmtId="0" fontId="20" fillId="0" borderId="2" xfId="3" applyFont="1" applyBorder="1" applyAlignment="1">
      <alignment horizontal="justify" vertical="center" wrapText="1"/>
    </xf>
    <xf numFmtId="0" fontId="20" fillId="0" borderId="31" xfId="3" applyFont="1" applyBorder="1" applyAlignment="1">
      <alignment horizontal="justify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22" xfId="3" applyFont="1" applyBorder="1" applyAlignment="1">
      <alignment horizontal="center" vertical="center" wrapText="1"/>
    </xf>
    <xf numFmtId="0" fontId="20" fillId="0" borderId="32" xfId="3" applyFont="1" applyBorder="1" applyAlignment="1">
      <alignment horizontal="center" vertical="center" wrapText="1"/>
    </xf>
    <xf numFmtId="0" fontId="20" fillId="0" borderId="72" xfId="3" applyFont="1" applyBorder="1" applyAlignment="1">
      <alignment horizontal="center" vertical="center" wrapText="1"/>
    </xf>
    <xf numFmtId="0" fontId="20" fillId="0" borderId="73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0" fontId="11" fillId="0" borderId="2" xfId="1" applyFont="1" applyBorder="1" applyAlignment="1">
      <alignment horizontal="justify" vertical="center" wrapText="1"/>
    </xf>
    <xf numFmtId="0" fontId="11" fillId="0" borderId="0" xfId="1" applyFont="1" applyAlignment="1">
      <alignment horizontal="justify" vertical="center" wrapText="1"/>
    </xf>
    <xf numFmtId="0" fontId="20" fillId="0" borderId="2" xfId="3" applyFont="1" applyBorder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center" vertical="center" wrapText="1"/>
    </xf>
    <xf numFmtId="0" fontId="21" fillId="0" borderId="0" xfId="3" applyFont="1" applyAlignment="1">
      <alignment horizontal="justify" vertical="center" wrapText="1"/>
    </xf>
    <xf numFmtId="0" fontId="24" fillId="0" borderId="1" xfId="3" applyFont="1" applyBorder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17" fillId="0" borderId="1" xfId="3" applyFont="1" applyBorder="1" applyAlignment="1">
      <alignment horizontal="center" vertical="center"/>
    </xf>
    <xf numFmtId="0" fontId="17" fillId="0" borderId="0" xfId="3" applyFont="1" applyAlignment="1">
      <alignment horizontal="right" vertical="center"/>
    </xf>
    <xf numFmtId="0" fontId="20" fillId="0" borderId="96" xfId="3" applyFont="1" applyBorder="1" applyAlignment="1">
      <alignment horizontal="center" vertical="center" wrapText="1"/>
    </xf>
    <xf numFmtId="0" fontId="20" fillId="0" borderId="95" xfId="3" applyFont="1" applyBorder="1" applyAlignment="1">
      <alignment horizontal="center" vertical="center" wrapText="1"/>
    </xf>
    <xf numFmtId="0" fontId="20" fillId="0" borderId="94" xfId="3" applyFont="1" applyBorder="1" applyAlignment="1">
      <alignment horizontal="center" vertical="center" wrapText="1"/>
    </xf>
    <xf numFmtId="0" fontId="20" fillId="0" borderId="93" xfId="3" applyFont="1" applyBorder="1" applyAlignment="1">
      <alignment horizontal="center" vertical="center" wrapText="1"/>
    </xf>
    <xf numFmtId="0" fontId="21" fillId="0" borderId="79" xfId="3" applyFont="1" applyBorder="1" applyAlignment="1">
      <alignment horizontal="center" vertical="center" wrapText="1"/>
    </xf>
    <xf numFmtId="0" fontId="21" fillId="0" borderId="80" xfId="3" applyFont="1" applyBorder="1" applyAlignment="1">
      <alignment horizontal="center" vertical="center" wrapText="1"/>
    </xf>
    <xf numFmtId="0" fontId="21" fillId="0" borderId="81" xfId="3" applyFont="1" applyBorder="1" applyAlignment="1">
      <alignment horizontal="center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82" xfId="3" applyFont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 wrapText="1"/>
    </xf>
    <xf numFmtId="0" fontId="21" fillId="0" borderId="83" xfId="3" applyFont="1" applyBorder="1" applyAlignment="1">
      <alignment horizontal="center" vertical="center" wrapText="1"/>
    </xf>
    <xf numFmtId="0" fontId="20" fillId="0" borderId="84" xfId="3" applyFont="1" applyBorder="1" applyAlignment="1">
      <alignment vertical="center" wrapText="1"/>
    </xf>
    <xf numFmtId="0" fontId="20" fillId="0" borderId="85" xfId="3" applyFont="1" applyBorder="1" applyAlignment="1">
      <alignment vertical="center" wrapText="1"/>
    </xf>
    <xf numFmtId="0" fontId="20" fillId="0" borderId="86" xfId="3" applyFont="1" applyBorder="1" applyAlignment="1">
      <alignment vertical="center" wrapText="1"/>
    </xf>
    <xf numFmtId="0" fontId="20" fillId="0" borderId="87" xfId="3" applyFont="1" applyBorder="1" applyAlignment="1">
      <alignment vertical="center" wrapText="1"/>
    </xf>
    <xf numFmtId="0" fontId="20" fillId="0" borderId="88" xfId="3" applyFont="1" applyBorder="1" applyAlignment="1">
      <alignment vertical="center" wrapText="1"/>
    </xf>
    <xf numFmtId="0" fontId="21" fillId="0" borderId="91" xfId="3" applyFont="1" applyBorder="1" applyAlignment="1">
      <alignment horizontal="center" vertical="center" wrapText="1"/>
    </xf>
    <xf numFmtId="0" fontId="21" fillId="0" borderId="77" xfId="3" applyFont="1" applyBorder="1" applyAlignment="1">
      <alignment horizontal="center" vertical="center" wrapText="1"/>
    </xf>
    <xf numFmtId="0" fontId="21" fillId="0" borderId="92" xfId="3" applyFont="1" applyBorder="1" applyAlignment="1">
      <alignment horizontal="center" vertical="center" wrapText="1"/>
    </xf>
    <xf numFmtId="0" fontId="21" fillId="0" borderId="89" xfId="3" applyFont="1" applyBorder="1" applyAlignment="1">
      <alignment horizontal="center" vertical="center" wrapText="1"/>
    </xf>
    <xf numFmtId="0" fontId="21" fillId="0" borderId="90" xfId="3" applyFont="1" applyBorder="1" applyAlignment="1">
      <alignment horizontal="center" vertical="center" wrapText="1"/>
    </xf>
    <xf numFmtId="0" fontId="21" fillId="0" borderId="76" xfId="3" applyFont="1" applyBorder="1" applyAlignment="1">
      <alignment horizontal="center" vertical="center" wrapText="1"/>
    </xf>
    <xf numFmtId="0" fontId="21" fillId="0" borderId="78" xfId="3" applyFont="1" applyBorder="1" applyAlignment="1">
      <alignment horizontal="center" vertical="center" wrapText="1"/>
    </xf>
  </cellXfs>
  <cellStyles count="5">
    <cellStyle name="표준" xfId="0" builtinId="0"/>
    <cellStyle name="표준 2_2008KP900S_2008KP900S_2015KP900S(1~6)_2015KP900S(1~6)" xfId="2" xr:uid="{00000000-0005-0000-0000-000001000000}"/>
    <cellStyle name="표준_2007KP200S" xfId="3" xr:uid="{00000000-0005-0000-0000-000002000000}"/>
    <cellStyle name="표준_2007KP200S_2013KP800STOCK_2014KP800STOCK_2014KP800STOCK(2)_2015KP800STOCK(1)_2016KP800STOCK(1)_2016KP800STOCK(1)" xfId="4" xr:uid="{00000000-0005-0000-0000-000003000000}"/>
    <cellStyle name="표준_2007KP200S_2015KP900S(1~6)_2015KP900S(1~6)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U47"/>
  <sheetViews>
    <sheetView tabSelected="1" view="pageLayout" zoomScaleNormal="100" workbookViewId="0">
      <selection activeCell="L13" sqref="L13"/>
    </sheetView>
  </sheetViews>
  <sheetFormatPr defaultRowHeight="13.5"/>
  <cols>
    <col min="1" max="1" width="7.625" style="1" customWidth="1"/>
    <col min="2" max="3" width="4.25" style="1" customWidth="1"/>
    <col min="4" max="4" width="5.375" style="1" customWidth="1"/>
    <col min="5" max="5" width="3.125" style="1" customWidth="1"/>
    <col min="6" max="6" width="5.375" style="1" customWidth="1"/>
    <col min="7" max="7" width="9.875" style="1" customWidth="1"/>
    <col min="8" max="8" width="10.125" style="1" customWidth="1"/>
    <col min="9" max="9" width="11" style="1" customWidth="1"/>
    <col min="10" max="10" width="9.875" style="1" customWidth="1"/>
    <col min="11" max="11" width="10.25" style="1" customWidth="1"/>
    <col min="12" max="12" width="9.75" style="1" customWidth="1"/>
    <col min="13" max="13" width="9.375" style="1" customWidth="1"/>
    <col min="14" max="14" width="10.125" style="1" customWidth="1"/>
    <col min="15" max="15" width="11" style="1" customWidth="1"/>
    <col min="16" max="16" width="9.875" style="1" customWidth="1"/>
    <col min="17" max="17" width="10.25" style="1" customWidth="1"/>
    <col min="18" max="256" width="9" style="1"/>
    <col min="257" max="257" width="7.625" style="1" customWidth="1"/>
    <col min="258" max="259" width="4.25" style="1" customWidth="1"/>
    <col min="260" max="260" width="5.375" style="1" customWidth="1"/>
    <col min="261" max="261" width="3.125" style="1" customWidth="1"/>
    <col min="262" max="262" width="5.375" style="1" customWidth="1"/>
    <col min="263" max="263" width="9.875" style="1" customWidth="1"/>
    <col min="264" max="264" width="10.125" style="1" customWidth="1"/>
    <col min="265" max="265" width="11" style="1" customWidth="1"/>
    <col min="266" max="266" width="9.875" style="1" customWidth="1"/>
    <col min="267" max="267" width="10.25" style="1" customWidth="1"/>
    <col min="268" max="268" width="9.75" style="1" customWidth="1"/>
    <col min="269" max="269" width="9.375" style="1" customWidth="1"/>
    <col min="270" max="270" width="10.125" style="1" customWidth="1"/>
    <col min="271" max="271" width="11" style="1" customWidth="1"/>
    <col min="272" max="272" width="9.875" style="1" customWidth="1"/>
    <col min="273" max="273" width="10.25" style="1" customWidth="1"/>
    <col min="274" max="512" width="9" style="1"/>
    <col min="513" max="513" width="7.625" style="1" customWidth="1"/>
    <col min="514" max="515" width="4.25" style="1" customWidth="1"/>
    <col min="516" max="516" width="5.375" style="1" customWidth="1"/>
    <col min="517" max="517" width="3.125" style="1" customWidth="1"/>
    <col min="518" max="518" width="5.375" style="1" customWidth="1"/>
    <col min="519" max="519" width="9.875" style="1" customWidth="1"/>
    <col min="520" max="520" width="10.125" style="1" customWidth="1"/>
    <col min="521" max="521" width="11" style="1" customWidth="1"/>
    <col min="522" max="522" width="9.875" style="1" customWidth="1"/>
    <col min="523" max="523" width="10.25" style="1" customWidth="1"/>
    <col min="524" max="524" width="9.75" style="1" customWidth="1"/>
    <col min="525" max="525" width="9.375" style="1" customWidth="1"/>
    <col min="526" max="526" width="10.125" style="1" customWidth="1"/>
    <col min="527" max="527" width="11" style="1" customWidth="1"/>
    <col min="528" max="528" width="9.875" style="1" customWidth="1"/>
    <col min="529" max="529" width="10.25" style="1" customWidth="1"/>
    <col min="530" max="768" width="9" style="1"/>
    <col min="769" max="769" width="7.625" style="1" customWidth="1"/>
    <col min="770" max="771" width="4.25" style="1" customWidth="1"/>
    <col min="772" max="772" width="5.375" style="1" customWidth="1"/>
    <col min="773" max="773" width="3.125" style="1" customWidth="1"/>
    <col min="774" max="774" width="5.375" style="1" customWidth="1"/>
    <col min="775" max="775" width="9.875" style="1" customWidth="1"/>
    <col min="776" max="776" width="10.125" style="1" customWidth="1"/>
    <col min="777" max="777" width="11" style="1" customWidth="1"/>
    <col min="778" max="778" width="9.875" style="1" customWidth="1"/>
    <col min="779" max="779" width="10.25" style="1" customWidth="1"/>
    <col min="780" max="780" width="9.75" style="1" customWidth="1"/>
    <col min="781" max="781" width="9.375" style="1" customWidth="1"/>
    <col min="782" max="782" width="10.125" style="1" customWidth="1"/>
    <col min="783" max="783" width="11" style="1" customWidth="1"/>
    <col min="784" max="784" width="9.875" style="1" customWidth="1"/>
    <col min="785" max="785" width="10.25" style="1" customWidth="1"/>
    <col min="786" max="1024" width="9" style="1"/>
    <col min="1025" max="1025" width="7.625" style="1" customWidth="1"/>
    <col min="1026" max="1027" width="4.25" style="1" customWidth="1"/>
    <col min="1028" max="1028" width="5.375" style="1" customWidth="1"/>
    <col min="1029" max="1029" width="3.125" style="1" customWidth="1"/>
    <col min="1030" max="1030" width="5.375" style="1" customWidth="1"/>
    <col min="1031" max="1031" width="9.875" style="1" customWidth="1"/>
    <col min="1032" max="1032" width="10.125" style="1" customWidth="1"/>
    <col min="1033" max="1033" width="11" style="1" customWidth="1"/>
    <col min="1034" max="1034" width="9.875" style="1" customWidth="1"/>
    <col min="1035" max="1035" width="10.25" style="1" customWidth="1"/>
    <col min="1036" max="1036" width="9.75" style="1" customWidth="1"/>
    <col min="1037" max="1037" width="9.375" style="1" customWidth="1"/>
    <col min="1038" max="1038" width="10.125" style="1" customWidth="1"/>
    <col min="1039" max="1039" width="11" style="1" customWidth="1"/>
    <col min="1040" max="1040" width="9.875" style="1" customWidth="1"/>
    <col min="1041" max="1041" width="10.25" style="1" customWidth="1"/>
    <col min="1042" max="1280" width="9" style="1"/>
    <col min="1281" max="1281" width="7.625" style="1" customWidth="1"/>
    <col min="1282" max="1283" width="4.25" style="1" customWidth="1"/>
    <col min="1284" max="1284" width="5.375" style="1" customWidth="1"/>
    <col min="1285" max="1285" width="3.125" style="1" customWidth="1"/>
    <col min="1286" max="1286" width="5.375" style="1" customWidth="1"/>
    <col min="1287" max="1287" width="9.875" style="1" customWidth="1"/>
    <col min="1288" max="1288" width="10.125" style="1" customWidth="1"/>
    <col min="1289" max="1289" width="11" style="1" customWidth="1"/>
    <col min="1290" max="1290" width="9.875" style="1" customWidth="1"/>
    <col min="1291" max="1291" width="10.25" style="1" customWidth="1"/>
    <col min="1292" max="1292" width="9.75" style="1" customWidth="1"/>
    <col min="1293" max="1293" width="9.375" style="1" customWidth="1"/>
    <col min="1294" max="1294" width="10.125" style="1" customWidth="1"/>
    <col min="1295" max="1295" width="11" style="1" customWidth="1"/>
    <col min="1296" max="1296" width="9.875" style="1" customWidth="1"/>
    <col min="1297" max="1297" width="10.25" style="1" customWidth="1"/>
    <col min="1298" max="1536" width="9" style="1"/>
    <col min="1537" max="1537" width="7.625" style="1" customWidth="1"/>
    <col min="1538" max="1539" width="4.25" style="1" customWidth="1"/>
    <col min="1540" max="1540" width="5.375" style="1" customWidth="1"/>
    <col min="1541" max="1541" width="3.125" style="1" customWidth="1"/>
    <col min="1542" max="1542" width="5.375" style="1" customWidth="1"/>
    <col min="1543" max="1543" width="9.875" style="1" customWidth="1"/>
    <col min="1544" max="1544" width="10.125" style="1" customWidth="1"/>
    <col min="1545" max="1545" width="11" style="1" customWidth="1"/>
    <col min="1546" max="1546" width="9.875" style="1" customWidth="1"/>
    <col min="1547" max="1547" width="10.25" style="1" customWidth="1"/>
    <col min="1548" max="1548" width="9.75" style="1" customWidth="1"/>
    <col min="1549" max="1549" width="9.375" style="1" customWidth="1"/>
    <col min="1550" max="1550" width="10.125" style="1" customWidth="1"/>
    <col min="1551" max="1551" width="11" style="1" customWidth="1"/>
    <col min="1552" max="1552" width="9.875" style="1" customWidth="1"/>
    <col min="1553" max="1553" width="10.25" style="1" customWidth="1"/>
    <col min="1554" max="1792" width="9" style="1"/>
    <col min="1793" max="1793" width="7.625" style="1" customWidth="1"/>
    <col min="1794" max="1795" width="4.25" style="1" customWidth="1"/>
    <col min="1796" max="1796" width="5.375" style="1" customWidth="1"/>
    <col min="1797" max="1797" width="3.125" style="1" customWidth="1"/>
    <col min="1798" max="1798" width="5.375" style="1" customWidth="1"/>
    <col min="1799" max="1799" width="9.875" style="1" customWidth="1"/>
    <col min="1800" max="1800" width="10.125" style="1" customWidth="1"/>
    <col min="1801" max="1801" width="11" style="1" customWidth="1"/>
    <col min="1802" max="1802" width="9.875" style="1" customWidth="1"/>
    <col min="1803" max="1803" width="10.25" style="1" customWidth="1"/>
    <col min="1804" max="1804" width="9.75" style="1" customWidth="1"/>
    <col min="1805" max="1805" width="9.375" style="1" customWidth="1"/>
    <col min="1806" max="1806" width="10.125" style="1" customWidth="1"/>
    <col min="1807" max="1807" width="11" style="1" customWidth="1"/>
    <col min="1808" max="1808" width="9.875" style="1" customWidth="1"/>
    <col min="1809" max="1809" width="10.25" style="1" customWidth="1"/>
    <col min="1810" max="2048" width="9" style="1"/>
    <col min="2049" max="2049" width="7.625" style="1" customWidth="1"/>
    <col min="2050" max="2051" width="4.25" style="1" customWidth="1"/>
    <col min="2052" max="2052" width="5.375" style="1" customWidth="1"/>
    <col min="2053" max="2053" width="3.125" style="1" customWidth="1"/>
    <col min="2054" max="2054" width="5.375" style="1" customWidth="1"/>
    <col min="2055" max="2055" width="9.875" style="1" customWidth="1"/>
    <col min="2056" max="2056" width="10.125" style="1" customWidth="1"/>
    <col min="2057" max="2057" width="11" style="1" customWidth="1"/>
    <col min="2058" max="2058" width="9.875" style="1" customWidth="1"/>
    <col min="2059" max="2059" width="10.25" style="1" customWidth="1"/>
    <col min="2060" max="2060" width="9.75" style="1" customWidth="1"/>
    <col min="2061" max="2061" width="9.375" style="1" customWidth="1"/>
    <col min="2062" max="2062" width="10.125" style="1" customWidth="1"/>
    <col min="2063" max="2063" width="11" style="1" customWidth="1"/>
    <col min="2064" max="2064" width="9.875" style="1" customWidth="1"/>
    <col min="2065" max="2065" width="10.25" style="1" customWidth="1"/>
    <col min="2066" max="2304" width="9" style="1"/>
    <col min="2305" max="2305" width="7.625" style="1" customWidth="1"/>
    <col min="2306" max="2307" width="4.25" style="1" customWidth="1"/>
    <col min="2308" max="2308" width="5.375" style="1" customWidth="1"/>
    <col min="2309" max="2309" width="3.125" style="1" customWidth="1"/>
    <col min="2310" max="2310" width="5.375" style="1" customWidth="1"/>
    <col min="2311" max="2311" width="9.875" style="1" customWidth="1"/>
    <col min="2312" max="2312" width="10.125" style="1" customWidth="1"/>
    <col min="2313" max="2313" width="11" style="1" customWidth="1"/>
    <col min="2314" max="2314" width="9.875" style="1" customWidth="1"/>
    <col min="2315" max="2315" width="10.25" style="1" customWidth="1"/>
    <col min="2316" max="2316" width="9.75" style="1" customWidth="1"/>
    <col min="2317" max="2317" width="9.375" style="1" customWidth="1"/>
    <col min="2318" max="2318" width="10.125" style="1" customWidth="1"/>
    <col min="2319" max="2319" width="11" style="1" customWidth="1"/>
    <col min="2320" max="2320" width="9.875" style="1" customWidth="1"/>
    <col min="2321" max="2321" width="10.25" style="1" customWidth="1"/>
    <col min="2322" max="2560" width="9" style="1"/>
    <col min="2561" max="2561" width="7.625" style="1" customWidth="1"/>
    <col min="2562" max="2563" width="4.25" style="1" customWidth="1"/>
    <col min="2564" max="2564" width="5.375" style="1" customWidth="1"/>
    <col min="2565" max="2565" width="3.125" style="1" customWidth="1"/>
    <col min="2566" max="2566" width="5.375" style="1" customWidth="1"/>
    <col min="2567" max="2567" width="9.875" style="1" customWidth="1"/>
    <col min="2568" max="2568" width="10.125" style="1" customWidth="1"/>
    <col min="2569" max="2569" width="11" style="1" customWidth="1"/>
    <col min="2570" max="2570" width="9.875" style="1" customWidth="1"/>
    <col min="2571" max="2571" width="10.25" style="1" customWidth="1"/>
    <col min="2572" max="2572" width="9.75" style="1" customWidth="1"/>
    <col min="2573" max="2573" width="9.375" style="1" customWidth="1"/>
    <col min="2574" max="2574" width="10.125" style="1" customWidth="1"/>
    <col min="2575" max="2575" width="11" style="1" customWidth="1"/>
    <col min="2576" max="2576" width="9.875" style="1" customWidth="1"/>
    <col min="2577" max="2577" width="10.25" style="1" customWidth="1"/>
    <col min="2578" max="2816" width="9" style="1"/>
    <col min="2817" max="2817" width="7.625" style="1" customWidth="1"/>
    <col min="2818" max="2819" width="4.25" style="1" customWidth="1"/>
    <col min="2820" max="2820" width="5.375" style="1" customWidth="1"/>
    <col min="2821" max="2821" width="3.125" style="1" customWidth="1"/>
    <col min="2822" max="2822" width="5.375" style="1" customWidth="1"/>
    <col min="2823" max="2823" width="9.875" style="1" customWidth="1"/>
    <col min="2824" max="2824" width="10.125" style="1" customWidth="1"/>
    <col min="2825" max="2825" width="11" style="1" customWidth="1"/>
    <col min="2826" max="2826" width="9.875" style="1" customWidth="1"/>
    <col min="2827" max="2827" width="10.25" style="1" customWidth="1"/>
    <col min="2828" max="2828" width="9.75" style="1" customWidth="1"/>
    <col min="2829" max="2829" width="9.375" style="1" customWidth="1"/>
    <col min="2830" max="2830" width="10.125" style="1" customWidth="1"/>
    <col min="2831" max="2831" width="11" style="1" customWidth="1"/>
    <col min="2832" max="2832" width="9.875" style="1" customWidth="1"/>
    <col min="2833" max="2833" width="10.25" style="1" customWidth="1"/>
    <col min="2834" max="3072" width="9" style="1"/>
    <col min="3073" max="3073" width="7.625" style="1" customWidth="1"/>
    <col min="3074" max="3075" width="4.25" style="1" customWidth="1"/>
    <col min="3076" max="3076" width="5.375" style="1" customWidth="1"/>
    <col min="3077" max="3077" width="3.125" style="1" customWidth="1"/>
    <col min="3078" max="3078" width="5.375" style="1" customWidth="1"/>
    <col min="3079" max="3079" width="9.875" style="1" customWidth="1"/>
    <col min="3080" max="3080" width="10.125" style="1" customWidth="1"/>
    <col min="3081" max="3081" width="11" style="1" customWidth="1"/>
    <col min="3082" max="3082" width="9.875" style="1" customWidth="1"/>
    <col min="3083" max="3083" width="10.25" style="1" customWidth="1"/>
    <col min="3084" max="3084" width="9.75" style="1" customWidth="1"/>
    <col min="3085" max="3085" width="9.375" style="1" customWidth="1"/>
    <col min="3086" max="3086" width="10.125" style="1" customWidth="1"/>
    <col min="3087" max="3087" width="11" style="1" customWidth="1"/>
    <col min="3088" max="3088" width="9.875" style="1" customWidth="1"/>
    <col min="3089" max="3089" width="10.25" style="1" customWidth="1"/>
    <col min="3090" max="3328" width="9" style="1"/>
    <col min="3329" max="3329" width="7.625" style="1" customWidth="1"/>
    <col min="3330" max="3331" width="4.25" style="1" customWidth="1"/>
    <col min="3332" max="3332" width="5.375" style="1" customWidth="1"/>
    <col min="3333" max="3333" width="3.125" style="1" customWidth="1"/>
    <col min="3334" max="3334" width="5.375" style="1" customWidth="1"/>
    <col min="3335" max="3335" width="9.875" style="1" customWidth="1"/>
    <col min="3336" max="3336" width="10.125" style="1" customWidth="1"/>
    <col min="3337" max="3337" width="11" style="1" customWidth="1"/>
    <col min="3338" max="3338" width="9.875" style="1" customWidth="1"/>
    <col min="3339" max="3339" width="10.25" style="1" customWidth="1"/>
    <col min="3340" max="3340" width="9.75" style="1" customWidth="1"/>
    <col min="3341" max="3341" width="9.375" style="1" customWidth="1"/>
    <col min="3342" max="3342" width="10.125" style="1" customWidth="1"/>
    <col min="3343" max="3343" width="11" style="1" customWidth="1"/>
    <col min="3344" max="3344" width="9.875" style="1" customWidth="1"/>
    <col min="3345" max="3345" width="10.25" style="1" customWidth="1"/>
    <col min="3346" max="3584" width="9" style="1"/>
    <col min="3585" max="3585" width="7.625" style="1" customWidth="1"/>
    <col min="3586" max="3587" width="4.25" style="1" customWidth="1"/>
    <col min="3588" max="3588" width="5.375" style="1" customWidth="1"/>
    <col min="3589" max="3589" width="3.125" style="1" customWidth="1"/>
    <col min="3590" max="3590" width="5.375" style="1" customWidth="1"/>
    <col min="3591" max="3591" width="9.875" style="1" customWidth="1"/>
    <col min="3592" max="3592" width="10.125" style="1" customWidth="1"/>
    <col min="3593" max="3593" width="11" style="1" customWidth="1"/>
    <col min="3594" max="3594" width="9.875" style="1" customWidth="1"/>
    <col min="3595" max="3595" width="10.25" style="1" customWidth="1"/>
    <col min="3596" max="3596" width="9.75" style="1" customWidth="1"/>
    <col min="3597" max="3597" width="9.375" style="1" customWidth="1"/>
    <col min="3598" max="3598" width="10.125" style="1" customWidth="1"/>
    <col min="3599" max="3599" width="11" style="1" customWidth="1"/>
    <col min="3600" max="3600" width="9.875" style="1" customWidth="1"/>
    <col min="3601" max="3601" width="10.25" style="1" customWidth="1"/>
    <col min="3602" max="3840" width="9" style="1"/>
    <col min="3841" max="3841" width="7.625" style="1" customWidth="1"/>
    <col min="3842" max="3843" width="4.25" style="1" customWidth="1"/>
    <col min="3844" max="3844" width="5.375" style="1" customWidth="1"/>
    <col min="3845" max="3845" width="3.125" style="1" customWidth="1"/>
    <col min="3846" max="3846" width="5.375" style="1" customWidth="1"/>
    <col min="3847" max="3847" width="9.875" style="1" customWidth="1"/>
    <col min="3848" max="3848" width="10.125" style="1" customWidth="1"/>
    <col min="3849" max="3849" width="11" style="1" customWidth="1"/>
    <col min="3850" max="3850" width="9.875" style="1" customWidth="1"/>
    <col min="3851" max="3851" width="10.25" style="1" customWidth="1"/>
    <col min="3852" max="3852" width="9.75" style="1" customWidth="1"/>
    <col min="3853" max="3853" width="9.375" style="1" customWidth="1"/>
    <col min="3854" max="3854" width="10.125" style="1" customWidth="1"/>
    <col min="3855" max="3855" width="11" style="1" customWidth="1"/>
    <col min="3856" max="3856" width="9.875" style="1" customWidth="1"/>
    <col min="3857" max="3857" width="10.25" style="1" customWidth="1"/>
    <col min="3858" max="4096" width="9" style="1"/>
    <col min="4097" max="4097" width="7.625" style="1" customWidth="1"/>
    <col min="4098" max="4099" width="4.25" style="1" customWidth="1"/>
    <col min="4100" max="4100" width="5.375" style="1" customWidth="1"/>
    <col min="4101" max="4101" width="3.125" style="1" customWidth="1"/>
    <col min="4102" max="4102" width="5.375" style="1" customWidth="1"/>
    <col min="4103" max="4103" width="9.875" style="1" customWidth="1"/>
    <col min="4104" max="4104" width="10.125" style="1" customWidth="1"/>
    <col min="4105" max="4105" width="11" style="1" customWidth="1"/>
    <col min="4106" max="4106" width="9.875" style="1" customWidth="1"/>
    <col min="4107" max="4107" width="10.25" style="1" customWidth="1"/>
    <col min="4108" max="4108" width="9.75" style="1" customWidth="1"/>
    <col min="4109" max="4109" width="9.375" style="1" customWidth="1"/>
    <col min="4110" max="4110" width="10.125" style="1" customWidth="1"/>
    <col min="4111" max="4111" width="11" style="1" customWidth="1"/>
    <col min="4112" max="4112" width="9.875" style="1" customWidth="1"/>
    <col min="4113" max="4113" width="10.25" style="1" customWidth="1"/>
    <col min="4114" max="4352" width="9" style="1"/>
    <col min="4353" max="4353" width="7.625" style="1" customWidth="1"/>
    <col min="4354" max="4355" width="4.25" style="1" customWidth="1"/>
    <col min="4356" max="4356" width="5.375" style="1" customWidth="1"/>
    <col min="4357" max="4357" width="3.125" style="1" customWidth="1"/>
    <col min="4358" max="4358" width="5.375" style="1" customWidth="1"/>
    <col min="4359" max="4359" width="9.875" style="1" customWidth="1"/>
    <col min="4360" max="4360" width="10.125" style="1" customWidth="1"/>
    <col min="4361" max="4361" width="11" style="1" customWidth="1"/>
    <col min="4362" max="4362" width="9.875" style="1" customWidth="1"/>
    <col min="4363" max="4363" width="10.25" style="1" customWidth="1"/>
    <col min="4364" max="4364" width="9.75" style="1" customWidth="1"/>
    <col min="4365" max="4365" width="9.375" style="1" customWidth="1"/>
    <col min="4366" max="4366" width="10.125" style="1" customWidth="1"/>
    <col min="4367" max="4367" width="11" style="1" customWidth="1"/>
    <col min="4368" max="4368" width="9.875" style="1" customWidth="1"/>
    <col min="4369" max="4369" width="10.25" style="1" customWidth="1"/>
    <col min="4370" max="4608" width="9" style="1"/>
    <col min="4609" max="4609" width="7.625" style="1" customWidth="1"/>
    <col min="4610" max="4611" width="4.25" style="1" customWidth="1"/>
    <col min="4612" max="4612" width="5.375" style="1" customWidth="1"/>
    <col min="4613" max="4613" width="3.125" style="1" customWidth="1"/>
    <col min="4614" max="4614" width="5.375" style="1" customWidth="1"/>
    <col min="4615" max="4615" width="9.875" style="1" customWidth="1"/>
    <col min="4616" max="4616" width="10.125" style="1" customWidth="1"/>
    <col min="4617" max="4617" width="11" style="1" customWidth="1"/>
    <col min="4618" max="4618" width="9.875" style="1" customWidth="1"/>
    <col min="4619" max="4619" width="10.25" style="1" customWidth="1"/>
    <col min="4620" max="4620" width="9.75" style="1" customWidth="1"/>
    <col min="4621" max="4621" width="9.375" style="1" customWidth="1"/>
    <col min="4622" max="4622" width="10.125" style="1" customWidth="1"/>
    <col min="4623" max="4623" width="11" style="1" customWidth="1"/>
    <col min="4624" max="4624" width="9.875" style="1" customWidth="1"/>
    <col min="4625" max="4625" width="10.25" style="1" customWidth="1"/>
    <col min="4626" max="4864" width="9" style="1"/>
    <col min="4865" max="4865" width="7.625" style="1" customWidth="1"/>
    <col min="4866" max="4867" width="4.25" style="1" customWidth="1"/>
    <col min="4868" max="4868" width="5.375" style="1" customWidth="1"/>
    <col min="4869" max="4869" width="3.125" style="1" customWidth="1"/>
    <col min="4870" max="4870" width="5.375" style="1" customWidth="1"/>
    <col min="4871" max="4871" width="9.875" style="1" customWidth="1"/>
    <col min="4872" max="4872" width="10.125" style="1" customWidth="1"/>
    <col min="4873" max="4873" width="11" style="1" customWidth="1"/>
    <col min="4874" max="4874" width="9.875" style="1" customWidth="1"/>
    <col min="4875" max="4875" width="10.25" style="1" customWidth="1"/>
    <col min="4876" max="4876" width="9.75" style="1" customWidth="1"/>
    <col min="4877" max="4877" width="9.375" style="1" customWidth="1"/>
    <col min="4878" max="4878" width="10.125" style="1" customWidth="1"/>
    <col min="4879" max="4879" width="11" style="1" customWidth="1"/>
    <col min="4880" max="4880" width="9.875" style="1" customWidth="1"/>
    <col min="4881" max="4881" width="10.25" style="1" customWidth="1"/>
    <col min="4882" max="5120" width="9" style="1"/>
    <col min="5121" max="5121" width="7.625" style="1" customWidth="1"/>
    <col min="5122" max="5123" width="4.25" style="1" customWidth="1"/>
    <col min="5124" max="5124" width="5.375" style="1" customWidth="1"/>
    <col min="5125" max="5125" width="3.125" style="1" customWidth="1"/>
    <col min="5126" max="5126" width="5.375" style="1" customWidth="1"/>
    <col min="5127" max="5127" width="9.875" style="1" customWidth="1"/>
    <col min="5128" max="5128" width="10.125" style="1" customWidth="1"/>
    <col min="5129" max="5129" width="11" style="1" customWidth="1"/>
    <col min="5130" max="5130" width="9.875" style="1" customWidth="1"/>
    <col min="5131" max="5131" width="10.25" style="1" customWidth="1"/>
    <col min="5132" max="5132" width="9.75" style="1" customWidth="1"/>
    <col min="5133" max="5133" width="9.375" style="1" customWidth="1"/>
    <col min="5134" max="5134" width="10.125" style="1" customWidth="1"/>
    <col min="5135" max="5135" width="11" style="1" customWidth="1"/>
    <col min="5136" max="5136" width="9.875" style="1" customWidth="1"/>
    <col min="5137" max="5137" width="10.25" style="1" customWidth="1"/>
    <col min="5138" max="5376" width="9" style="1"/>
    <col min="5377" max="5377" width="7.625" style="1" customWidth="1"/>
    <col min="5378" max="5379" width="4.25" style="1" customWidth="1"/>
    <col min="5380" max="5380" width="5.375" style="1" customWidth="1"/>
    <col min="5381" max="5381" width="3.125" style="1" customWidth="1"/>
    <col min="5382" max="5382" width="5.375" style="1" customWidth="1"/>
    <col min="5383" max="5383" width="9.875" style="1" customWidth="1"/>
    <col min="5384" max="5384" width="10.125" style="1" customWidth="1"/>
    <col min="5385" max="5385" width="11" style="1" customWidth="1"/>
    <col min="5386" max="5386" width="9.875" style="1" customWidth="1"/>
    <col min="5387" max="5387" width="10.25" style="1" customWidth="1"/>
    <col min="5388" max="5388" width="9.75" style="1" customWidth="1"/>
    <col min="5389" max="5389" width="9.375" style="1" customWidth="1"/>
    <col min="5390" max="5390" width="10.125" style="1" customWidth="1"/>
    <col min="5391" max="5391" width="11" style="1" customWidth="1"/>
    <col min="5392" max="5392" width="9.875" style="1" customWidth="1"/>
    <col min="5393" max="5393" width="10.25" style="1" customWidth="1"/>
    <col min="5394" max="5632" width="9" style="1"/>
    <col min="5633" max="5633" width="7.625" style="1" customWidth="1"/>
    <col min="5634" max="5635" width="4.25" style="1" customWidth="1"/>
    <col min="5636" max="5636" width="5.375" style="1" customWidth="1"/>
    <col min="5637" max="5637" width="3.125" style="1" customWidth="1"/>
    <col min="5638" max="5638" width="5.375" style="1" customWidth="1"/>
    <col min="5639" max="5639" width="9.875" style="1" customWidth="1"/>
    <col min="5640" max="5640" width="10.125" style="1" customWidth="1"/>
    <col min="5641" max="5641" width="11" style="1" customWidth="1"/>
    <col min="5642" max="5642" width="9.875" style="1" customWidth="1"/>
    <col min="5643" max="5643" width="10.25" style="1" customWidth="1"/>
    <col min="5644" max="5644" width="9.75" style="1" customWidth="1"/>
    <col min="5645" max="5645" width="9.375" style="1" customWidth="1"/>
    <col min="5646" max="5646" width="10.125" style="1" customWidth="1"/>
    <col min="5647" max="5647" width="11" style="1" customWidth="1"/>
    <col min="5648" max="5648" width="9.875" style="1" customWidth="1"/>
    <col min="5649" max="5649" width="10.25" style="1" customWidth="1"/>
    <col min="5650" max="5888" width="9" style="1"/>
    <col min="5889" max="5889" width="7.625" style="1" customWidth="1"/>
    <col min="5890" max="5891" width="4.25" style="1" customWidth="1"/>
    <col min="5892" max="5892" width="5.375" style="1" customWidth="1"/>
    <col min="5893" max="5893" width="3.125" style="1" customWidth="1"/>
    <col min="5894" max="5894" width="5.375" style="1" customWidth="1"/>
    <col min="5895" max="5895" width="9.875" style="1" customWidth="1"/>
    <col min="5896" max="5896" width="10.125" style="1" customWidth="1"/>
    <col min="5897" max="5897" width="11" style="1" customWidth="1"/>
    <col min="5898" max="5898" width="9.875" style="1" customWidth="1"/>
    <col min="5899" max="5899" width="10.25" style="1" customWidth="1"/>
    <col min="5900" max="5900" width="9.75" style="1" customWidth="1"/>
    <col min="5901" max="5901" width="9.375" style="1" customWidth="1"/>
    <col min="5902" max="5902" width="10.125" style="1" customWidth="1"/>
    <col min="5903" max="5903" width="11" style="1" customWidth="1"/>
    <col min="5904" max="5904" width="9.875" style="1" customWidth="1"/>
    <col min="5905" max="5905" width="10.25" style="1" customWidth="1"/>
    <col min="5906" max="6144" width="9" style="1"/>
    <col min="6145" max="6145" width="7.625" style="1" customWidth="1"/>
    <col min="6146" max="6147" width="4.25" style="1" customWidth="1"/>
    <col min="6148" max="6148" width="5.375" style="1" customWidth="1"/>
    <col min="6149" max="6149" width="3.125" style="1" customWidth="1"/>
    <col min="6150" max="6150" width="5.375" style="1" customWidth="1"/>
    <col min="6151" max="6151" width="9.875" style="1" customWidth="1"/>
    <col min="6152" max="6152" width="10.125" style="1" customWidth="1"/>
    <col min="6153" max="6153" width="11" style="1" customWidth="1"/>
    <col min="6154" max="6154" width="9.875" style="1" customWidth="1"/>
    <col min="6155" max="6155" width="10.25" style="1" customWidth="1"/>
    <col min="6156" max="6156" width="9.75" style="1" customWidth="1"/>
    <col min="6157" max="6157" width="9.375" style="1" customWidth="1"/>
    <col min="6158" max="6158" width="10.125" style="1" customWidth="1"/>
    <col min="6159" max="6159" width="11" style="1" customWidth="1"/>
    <col min="6160" max="6160" width="9.875" style="1" customWidth="1"/>
    <col min="6161" max="6161" width="10.25" style="1" customWidth="1"/>
    <col min="6162" max="6400" width="9" style="1"/>
    <col min="6401" max="6401" width="7.625" style="1" customWidth="1"/>
    <col min="6402" max="6403" width="4.25" style="1" customWidth="1"/>
    <col min="6404" max="6404" width="5.375" style="1" customWidth="1"/>
    <col min="6405" max="6405" width="3.125" style="1" customWidth="1"/>
    <col min="6406" max="6406" width="5.375" style="1" customWidth="1"/>
    <col min="6407" max="6407" width="9.875" style="1" customWidth="1"/>
    <col min="6408" max="6408" width="10.125" style="1" customWidth="1"/>
    <col min="6409" max="6409" width="11" style="1" customWidth="1"/>
    <col min="6410" max="6410" width="9.875" style="1" customWidth="1"/>
    <col min="6411" max="6411" width="10.25" style="1" customWidth="1"/>
    <col min="6412" max="6412" width="9.75" style="1" customWidth="1"/>
    <col min="6413" max="6413" width="9.375" style="1" customWidth="1"/>
    <col min="6414" max="6414" width="10.125" style="1" customWidth="1"/>
    <col min="6415" max="6415" width="11" style="1" customWidth="1"/>
    <col min="6416" max="6416" width="9.875" style="1" customWidth="1"/>
    <col min="6417" max="6417" width="10.25" style="1" customWidth="1"/>
    <col min="6418" max="6656" width="9" style="1"/>
    <col min="6657" max="6657" width="7.625" style="1" customWidth="1"/>
    <col min="6658" max="6659" width="4.25" style="1" customWidth="1"/>
    <col min="6660" max="6660" width="5.375" style="1" customWidth="1"/>
    <col min="6661" max="6661" width="3.125" style="1" customWidth="1"/>
    <col min="6662" max="6662" width="5.375" style="1" customWidth="1"/>
    <col min="6663" max="6663" width="9.875" style="1" customWidth="1"/>
    <col min="6664" max="6664" width="10.125" style="1" customWidth="1"/>
    <col min="6665" max="6665" width="11" style="1" customWidth="1"/>
    <col min="6666" max="6666" width="9.875" style="1" customWidth="1"/>
    <col min="6667" max="6667" width="10.25" style="1" customWidth="1"/>
    <col min="6668" max="6668" width="9.75" style="1" customWidth="1"/>
    <col min="6669" max="6669" width="9.375" style="1" customWidth="1"/>
    <col min="6670" max="6670" width="10.125" style="1" customWidth="1"/>
    <col min="6671" max="6671" width="11" style="1" customWidth="1"/>
    <col min="6672" max="6672" width="9.875" style="1" customWidth="1"/>
    <col min="6673" max="6673" width="10.25" style="1" customWidth="1"/>
    <col min="6674" max="6912" width="9" style="1"/>
    <col min="6913" max="6913" width="7.625" style="1" customWidth="1"/>
    <col min="6914" max="6915" width="4.25" style="1" customWidth="1"/>
    <col min="6916" max="6916" width="5.375" style="1" customWidth="1"/>
    <col min="6917" max="6917" width="3.125" style="1" customWidth="1"/>
    <col min="6918" max="6918" width="5.375" style="1" customWidth="1"/>
    <col min="6919" max="6919" width="9.875" style="1" customWidth="1"/>
    <col min="6920" max="6920" width="10.125" style="1" customWidth="1"/>
    <col min="6921" max="6921" width="11" style="1" customWidth="1"/>
    <col min="6922" max="6922" width="9.875" style="1" customWidth="1"/>
    <col min="6923" max="6923" width="10.25" style="1" customWidth="1"/>
    <col min="6924" max="6924" width="9.75" style="1" customWidth="1"/>
    <col min="6925" max="6925" width="9.375" style="1" customWidth="1"/>
    <col min="6926" max="6926" width="10.125" style="1" customWidth="1"/>
    <col min="6927" max="6927" width="11" style="1" customWidth="1"/>
    <col min="6928" max="6928" width="9.875" style="1" customWidth="1"/>
    <col min="6929" max="6929" width="10.25" style="1" customWidth="1"/>
    <col min="6930" max="7168" width="9" style="1"/>
    <col min="7169" max="7169" width="7.625" style="1" customWidth="1"/>
    <col min="7170" max="7171" width="4.25" style="1" customWidth="1"/>
    <col min="7172" max="7172" width="5.375" style="1" customWidth="1"/>
    <col min="7173" max="7173" width="3.125" style="1" customWidth="1"/>
    <col min="7174" max="7174" width="5.375" style="1" customWidth="1"/>
    <col min="7175" max="7175" width="9.875" style="1" customWidth="1"/>
    <col min="7176" max="7176" width="10.125" style="1" customWidth="1"/>
    <col min="7177" max="7177" width="11" style="1" customWidth="1"/>
    <col min="7178" max="7178" width="9.875" style="1" customWidth="1"/>
    <col min="7179" max="7179" width="10.25" style="1" customWidth="1"/>
    <col min="7180" max="7180" width="9.75" style="1" customWidth="1"/>
    <col min="7181" max="7181" width="9.375" style="1" customWidth="1"/>
    <col min="7182" max="7182" width="10.125" style="1" customWidth="1"/>
    <col min="7183" max="7183" width="11" style="1" customWidth="1"/>
    <col min="7184" max="7184" width="9.875" style="1" customWidth="1"/>
    <col min="7185" max="7185" width="10.25" style="1" customWidth="1"/>
    <col min="7186" max="7424" width="9" style="1"/>
    <col min="7425" max="7425" width="7.625" style="1" customWidth="1"/>
    <col min="7426" max="7427" width="4.25" style="1" customWidth="1"/>
    <col min="7428" max="7428" width="5.375" style="1" customWidth="1"/>
    <col min="7429" max="7429" width="3.125" style="1" customWidth="1"/>
    <col min="7430" max="7430" width="5.375" style="1" customWidth="1"/>
    <col min="7431" max="7431" width="9.875" style="1" customWidth="1"/>
    <col min="7432" max="7432" width="10.125" style="1" customWidth="1"/>
    <col min="7433" max="7433" width="11" style="1" customWidth="1"/>
    <col min="7434" max="7434" width="9.875" style="1" customWidth="1"/>
    <col min="7435" max="7435" width="10.25" style="1" customWidth="1"/>
    <col min="7436" max="7436" width="9.75" style="1" customWidth="1"/>
    <col min="7437" max="7437" width="9.375" style="1" customWidth="1"/>
    <col min="7438" max="7438" width="10.125" style="1" customWidth="1"/>
    <col min="7439" max="7439" width="11" style="1" customWidth="1"/>
    <col min="7440" max="7440" width="9.875" style="1" customWidth="1"/>
    <col min="7441" max="7441" width="10.25" style="1" customWidth="1"/>
    <col min="7442" max="7680" width="9" style="1"/>
    <col min="7681" max="7681" width="7.625" style="1" customWidth="1"/>
    <col min="7682" max="7683" width="4.25" style="1" customWidth="1"/>
    <col min="7684" max="7684" width="5.375" style="1" customWidth="1"/>
    <col min="7685" max="7685" width="3.125" style="1" customWidth="1"/>
    <col min="7686" max="7686" width="5.375" style="1" customWidth="1"/>
    <col min="7687" max="7687" width="9.875" style="1" customWidth="1"/>
    <col min="7688" max="7688" width="10.125" style="1" customWidth="1"/>
    <col min="7689" max="7689" width="11" style="1" customWidth="1"/>
    <col min="7690" max="7690" width="9.875" style="1" customWidth="1"/>
    <col min="7691" max="7691" width="10.25" style="1" customWidth="1"/>
    <col min="7692" max="7692" width="9.75" style="1" customWidth="1"/>
    <col min="7693" max="7693" width="9.375" style="1" customWidth="1"/>
    <col min="7694" max="7694" width="10.125" style="1" customWidth="1"/>
    <col min="7695" max="7695" width="11" style="1" customWidth="1"/>
    <col min="7696" max="7696" width="9.875" style="1" customWidth="1"/>
    <col min="7697" max="7697" width="10.25" style="1" customWidth="1"/>
    <col min="7698" max="7936" width="9" style="1"/>
    <col min="7937" max="7937" width="7.625" style="1" customWidth="1"/>
    <col min="7938" max="7939" width="4.25" style="1" customWidth="1"/>
    <col min="7940" max="7940" width="5.375" style="1" customWidth="1"/>
    <col min="7941" max="7941" width="3.125" style="1" customWidth="1"/>
    <col min="7942" max="7942" width="5.375" style="1" customWidth="1"/>
    <col min="7943" max="7943" width="9.875" style="1" customWidth="1"/>
    <col min="7944" max="7944" width="10.125" style="1" customWidth="1"/>
    <col min="7945" max="7945" width="11" style="1" customWidth="1"/>
    <col min="7946" max="7946" width="9.875" style="1" customWidth="1"/>
    <col min="7947" max="7947" width="10.25" style="1" customWidth="1"/>
    <col min="7948" max="7948" width="9.75" style="1" customWidth="1"/>
    <col min="7949" max="7949" width="9.375" style="1" customWidth="1"/>
    <col min="7950" max="7950" width="10.125" style="1" customWidth="1"/>
    <col min="7951" max="7951" width="11" style="1" customWidth="1"/>
    <col min="7952" max="7952" width="9.875" style="1" customWidth="1"/>
    <col min="7953" max="7953" width="10.25" style="1" customWidth="1"/>
    <col min="7954" max="8192" width="9" style="1"/>
    <col min="8193" max="8193" width="7.625" style="1" customWidth="1"/>
    <col min="8194" max="8195" width="4.25" style="1" customWidth="1"/>
    <col min="8196" max="8196" width="5.375" style="1" customWidth="1"/>
    <col min="8197" max="8197" width="3.125" style="1" customWidth="1"/>
    <col min="8198" max="8198" width="5.375" style="1" customWidth="1"/>
    <col min="8199" max="8199" width="9.875" style="1" customWidth="1"/>
    <col min="8200" max="8200" width="10.125" style="1" customWidth="1"/>
    <col min="8201" max="8201" width="11" style="1" customWidth="1"/>
    <col min="8202" max="8202" width="9.875" style="1" customWidth="1"/>
    <col min="8203" max="8203" width="10.25" style="1" customWidth="1"/>
    <col min="8204" max="8204" width="9.75" style="1" customWidth="1"/>
    <col min="8205" max="8205" width="9.375" style="1" customWidth="1"/>
    <col min="8206" max="8206" width="10.125" style="1" customWidth="1"/>
    <col min="8207" max="8207" width="11" style="1" customWidth="1"/>
    <col min="8208" max="8208" width="9.875" style="1" customWidth="1"/>
    <col min="8209" max="8209" width="10.25" style="1" customWidth="1"/>
    <col min="8210" max="8448" width="9" style="1"/>
    <col min="8449" max="8449" width="7.625" style="1" customWidth="1"/>
    <col min="8450" max="8451" width="4.25" style="1" customWidth="1"/>
    <col min="8452" max="8452" width="5.375" style="1" customWidth="1"/>
    <col min="8453" max="8453" width="3.125" style="1" customWidth="1"/>
    <col min="8454" max="8454" width="5.375" style="1" customWidth="1"/>
    <col min="8455" max="8455" width="9.875" style="1" customWidth="1"/>
    <col min="8456" max="8456" width="10.125" style="1" customWidth="1"/>
    <col min="8457" max="8457" width="11" style="1" customWidth="1"/>
    <col min="8458" max="8458" width="9.875" style="1" customWidth="1"/>
    <col min="8459" max="8459" width="10.25" style="1" customWidth="1"/>
    <col min="8460" max="8460" width="9.75" style="1" customWidth="1"/>
    <col min="8461" max="8461" width="9.375" style="1" customWidth="1"/>
    <col min="8462" max="8462" width="10.125" style="1" customWidth="1"/>
    <col min="8463" max="8463" width="11" style="1" customWidth="1"/>
    <col min="8464" max="8464" width="9.875" style="1" customWidth="1"/>
    <col min="8465" max="8465" width="10.25" style="1" customWidth="1"/>
    <col min="8466" max="8704" width="9" style="1"/>
    <col min="8705" max="8705" width="7.625" style="1" customWidth="1"/>
    <col min="8706" max="8707" width="4.25" style="1" customWidth="1"/>
    <col min="8708" max="8708" width="5.375" style="1" customWidth="1"/>
    <col min="8709" max="8709" width="3.125" style="1" customWidth="1"/>
    <col min="8710" max="8710" width="5.375" style="1" customWidth="1"/>
    <col min="8711" max="8711" width="9.875" style="1" customWidth="1"/>
    <col min="8712" max="8712" width="10.125" style="1" customWidth="1"/>
    <col min="8713" max="8713" width="11" style="1" customWidth="1"/>
    <col min="8714" max="8714" width="9.875" style="1" customWidth="1"/>
    <col min="8715" max="8715" width="10.25" style="1" customWidth="1"/>
    <col min="8716" max="8716" width="9.75" style="1" customWidth="1"/>
    <col min="8717" max="8717" width="9.375" style="1" customWidth="1"/>
    <col min="8718" max="8718" width="10.125" style="1" customWidth="1"/>
    <col min="8719" max="8719" width="11" style="1" customWidth="1"/>
    <col min="8720" max="8720" width="9.875" style="1" customWidth="1"/>
    <col min="8721" max="8721" width="10.25" style="1" customWidth="1"/>
    <col min="8722" max="8960" width="9" style="1"/>
    <col min="8961" max="8961" width="7.625" style="1" customWidth="1"/>
    <col min="8962" max="8963" width="4.25" style="1" customWidth="1"/>
    <col min="8964" max="8964" width="5.375" style="1" customWidth="1"/>
    <col min="8965" max="8965" width="3.125" style="1" customWidth="1"/>
    <col min="8966" max="8966" width="5.375" style="1" customWidth="1"/>
    <col min="8967" max="8967" width="9.875" style="1" customWidth="1"/>
    <col min="8968" max="8968" width="10.125" style="1" customWidth="1"/>
    <col min="8969" max="8969" width="11" style="1" customWidth="1"/>
    <col min="8970" max="8970" width="9.875" style="1" customWidth="1"/>
    <col min="8971" max="8971" width="10.25" style="1" customWidth="1"/>
    <col min="8972" max="8972" width="9.75" style="1" customWidth="1"/>
    <col min="8973" max="8973" width="9.375" style="1" customWidth="1"/>
    <col min="8974" max="8974" width="10.125" style="1" customWidth="1"/>
    <col min="8975" max="8975" width="11" style="1" customWidth="1"/>
    <col min="8976" max="8976" width="9.875" style="1" customWidth="1"/>
    <col min="8977" max="8977" width="10.25" style="1" customWidth="1"/>
    <col min="8978" max="9216" width="9" style="1"/>
    <col min="9217" max="9217" width="7.625" style="1" customWidth="1"/>
    <col min="9218" max="9219" width="4.25" style="1" customWidth="1"/>
    <col min="9220" max="9220" width="5.375" style="1" customWidth="1"/>
    <col min="9221" max="9221" width="3.125" style="1" customWidth="1"/>
    <col min="9222" max="9222" width="5.375" style="1" customWidth="1"/>
    <col min="9223" max="9223" width="9.875" style="1" customWidth="1"/>
    <col min="9224" max="9224" width="10.125" style="1" customWidth="1"/>
    <col min="9225" max="9225" width="11" style="1" customWidth="1"/>
    <col min="9226" max="9226" width="9.875" style="1" customWidth="1"/>
    <col min="9227" max="9227" width="10.25" style="1" customWidth="1"/>
    <col min="9228" max="9228" width="9.75" style="1" customWidth="1"/>
    <col min="9229" max="9229" width="9.375" style="1" customWidth="1"/>
    <col min="9230" max="9230" width="10.125" style="1" customWidth="1"/>
    <col min="9231" max="9231" width="11" style="1" customWidth="1"/>
    <col min="9232" max="9232" width="9.875" style="1" customWidth="1"/>
    <col min="9233" max="9233" width="10.25" style="1" customWidth="1"/>
    <col min="9234" max="9472" width="9" style="1"/>
    <col min="9473" max="9473" width="7.625" style="1" customWidth="1"/>
    <col min="9474" max="9475" width="4.25" style="1" customWidth="1"/>
    <col min="9476" max="9476" width="5.375" style="1" customWidth="1"/>
    <col min="9477" max="9477" width="3.125" style="1" customWidth="1"/>
    <col min="9478" max="9478" width="5.375" style="1" customWidth="1"/>
    <col min="9479" max="9479" width="9.875" style="1" customWidth="1"/>
    <col min="9480" max="9480" width="10.125" style="1" customWidth="1"/>
    <col min="9481" max="9481" width="11" style="1" customWidth="1"/>
    <col min="9482" max="9482" width="9.875" style="1" customWidth="1"/>
    <col min="9483" max="9483" width="10.25" style="1" customWidth="1"/>
    <col min="9484" max="9484" width="9.75" style="1" customWidth="1"/>
    <col min="9485" max="9485" width="9.375" style="1" customWidth="1"/>
    <col min="9486" max="9486" width="10.125" style="1" customWidth="1"/>
    <col min="9487" max="9487" width="11" style="1" customWidth="1"/>
    <col min="9488" max="9488" width="9.875" style="1" customWidth="1"/>
    <col min="9489" max="9489" width="10.25" style="1" customWidth="1"/>
    <col min="9490" max="9728" width="9" style="1"/>
    <col min="9729" max="9729" width="7.625" style="1" customWidth="1"/>
    <col min="9730" max="9731" width="4.25" style="1" customWidth="1"/>
    <col min="9732" max="9732" width="5.375" style="1" customWidth="1"/>
    <col min="9733" max="9733" width="3.125" style="1" customWidth="1"/>
    <col min="9734" max="9734" width="5.375" style="1" customWidth="1"/>
    <col min="9735" max="9735" width="9.875" style="1" customWidth="1"/>
    <col min="9736" max="9736" width="10.125" style="1" customWidth="1"/>
    <col min="9737" max="9737" width="11" style="1" customWidth="1"/>
    <col min="9738" max="9738" width="9.875" style="1" customWidth="1"/>
    <col min="9739" max="9739" width="10.25" style="1" customWidth="1"/>
    <col min="9740" max="9740" width="9.75" style="1" customWidth="1"/>
    <col min="9741" max="9741" width="9.375" style="1" customWidth="1"/>
    <col min="9742" max="9742" width="10.125" style="1" customWidth="1"/>
    <col min="9743" max="9743" width="11" style="1" customWidth="1"/>
    <col min="9744" max="9744" width="9.875" style="1" customWidth="1"/>
    <col min="9745" max="9745" width="10.25" style="1" customWidth="1"/>
    <col min="9746" max="9984" width="9" style="1"/>
    <col min="9985" max="9985" width="7.625" style="1" customWidth="1"/>
    <col min="9986" max="9987" width="4.25" style="1" customWidth="1"/>
    <col min="9988" max="9988" width="5.375" style="1" customWidth="1"/>
    <col min="9989" max="9989" width="3.125" style="1" customWidth="1"/>
    <col min="9990" max="9990" width="5.375" style="1" customWidth="1"/>
    <col min="9991" max="9991" width="9.875" style="1" customWidth="1"/>
    <col min="9992" max="9992" width="10.125" style="1" customWidth="1"/>
    <col min="9993" max="9993" width="11" style="1" customWidth="1"/>
    <col min="9994" max="9994" width="9.875" style="1" customWidth="1"/>
    <col min="9995" max="9995" width="10.25" style="1" customWidth="1"/>
    <col min="9996" max="9996" width="9.75" style="1" customWidth="1"/>
    <col min="9997" max="9997" width="9.375" style="1" customWidth="1"/>
    <col min="9998" max="9998" width="10.125" style="1" customWidth="1"/>
    <col min="9999" max="9999" width="11" style="1" customWidth="1"/>
    <col min="10000" max="10000" width="9.875" style="1" customWidth="1"/>
    <col min="10001" max="10001" width="10.25" style="1" customWidth="1"/>
    <col min="10002" max="10240" width="9" style="1"/>
    <col min="10241" max="10241" width="7.625" style="1" customWidth="1"/>
    <col min="10242" max="10243" width="4.25" style="1" customWidth="1"/>
    <col min="10244" max="10244" width="5.375" style="1" customWidth="1"/>
    <col min="10245" max="10245" width="3.125" style="1" customWidth="1"/>
    <col min="10246" max="10246" width="5.375" style="1" customWidth="1"/>
    <col min="10247" max="10247" width="9.875" style="1" customWidth="1"/>
    <col min="10248" max="10248" width="10.125" style="1" customWidth="1"/>
    <col min="10249" max="10249" width="11" style="1" customWidth="1"/>
    <col min="10250" max="10250" width="9.875" style="1" customWidth="1"/>
    <col min="10251" max="10251" width="10.25" style="1" customWidth="1"/>
    <col min="10252" max="10252" width="9.75" style="1" customWidth="1"/>
    <col min="10253" max="10253" width="9.375" style="1" customWidth="1"/>
    <col min="10254" max="10254" width="10.125" style="1" customWidth="1"/>
    <col min="10255" max="10255" width="11" style="1" customWidth="1"/>
    <col min="10256" max="10256" width="9.875" style="1" customWidth="1"/>
    <col min="10257" max="10257" width="10.25" style="1" customWidth="1"/>
    <col min="10258" max="10496" width="9" style="1"/>
    <col min="10497" max="10497" width="7.625" style="1" customWidth="1"/>
    <col min="10498" max="10499" width="4.25" style="1" customWidth="1"/>
    <col min="10500" max="10500" width="5.375" style="1" customWidth="1"/>
    <col min="10501" max="10501" width="3.125" style="1" customWidth="1"/>
    <col min="10502" max="10502" width="5.375" style="1" customWidth="1"/>
    <col min="10503" max="10503" width="9.875" style="1" customWidth="1"/>
    <col min="10504" max="10504" width="10.125" style="1" customWidth="1"/>
    <col min="10505" max="10505" width="11" style="1" customWidth="1"/>
    <col min="10506" max="10506" width="9.875" style="1" customWidth="1"/>
    <col min="10507" max="10507" width="10.25" style="1" customWidth="1"/>
    <col min="10508" max="10508" width="9.75" style="1" customWidth="1"/>
    <col min="10509" max="10509" width="9.375" style="1" customWidth="1"/>
    <col min="10510" max="10510" width="10.125" style="1" customWidth="1"/>
    <col min="10511" max="10511" width="11" style="1" customWidth="1"/>
    <col min="10512" max="10512" width="9.875" style="1" customWidth="1"/>
    <col min="10513" max="10513" width="10.25" style="1" customWidth="1"/>
    <col min="10514" max="10752" width="9" style="1"/>
    <col min="10753" max="10753" width="7.625" style="1" customWidth="1"/>
    <col min="10754" max="10755" width="4.25" style="1" customWidth="1"/>
    <col min="10756" max="10756" width="5.375" style="1" customWidth="1"/>
    <col min="10757" max="10757" width="3.125" style="1" customWidth="1"/>
    <col min="10758" max="10758" width="5.375" style="1" customWidth="1"/>
    <col min="10759" max="10759" width="9.875" style="1" customWidth="1"/>
    <col min="10760" max="10760" width="10.125" style="1" customWidth="1"/>
    <col min="10761" max="10761" width="11" style="1" customWidth="1"/>
    <col min="10762" max="10762" width="9.875" style="1" customWidth="1"/>
    <col min="10763" max="10763" width="10.25" style="1" customWidth="1"/>
    <col min="10764" max="10764" width="9.75" style="1" customWidth="1"/>
    <col min="10765" max="10765" width="9.375" style="1" customWidth="1"/>
    <col min="10766" max="10766" width="10.125" style="1" customWidth="1"/>
    <col min="10767" max="10767" width="11" style="1" customWidth="1"/>
    <col min="10768" max="10768" width="9.875" style="1" customWidth="1"/>
    <col min="10769" max="10769" width="10.25" style="1" customWidth="1"/>
    <col min="10770" max="11008" width="9" style="1"/>
    <col min="11009" max="11009" width="7.625" style="1" customWidth="1"/>
    <col min="11010" max="11011" width="4.25" style="1" customWidth="1"/>
    <col min="11012" max="11012" width="5.375" style="1" customWidth="1"/>
    <col min="11013" max="11013" width="3.125" style="1" customWidth="1"/>
    <col min="11014" max="11014" width="5.375" style="1" customWidth="1"/>
    <col min="11015" max="11015" width="9.875" style="1" customWidth="1"/>
    <col min="11016" max="11016" width="10.125" style="1" customWidth="1"/>
    <col min="11017" max="11017" width="11" style="1" customWidth="1"/>
    <col min="11018" max="11018" width="9.875" style="1" customWidth="1"/>
    <col min="11019" max="11019" width="10.25" style="1" customWidth="1"/>
    <col min="11020" max="11020" width="9.75" style="1" customWidth="1"/>
    <col min="11021" max="11021" width="9.375" style="1" customWidth="1"/>
    <col min="11022" max="11022" width="10.125" style="1" customWidth="1"/>
    <col min="11023" max="11023" width="11" style="1" customWidth="1"/>
    <col min="11024" max="11024" width="9.875" style="1" customWidth="1"/>
    <col min="11025" max="11025" width="10.25" style="1" customWidth="1"/>
    <col min="11026" max="11264" width="9" style="1"/>
    <col min="11265" max="11265" width="7.625" style="1" customWidth="1"/>
    <col min="11266" max="11267" width="4.25" style="1" customWidth="1"/>
    <col min="11268" max="11268" width="5.375" style="1" customWidth="1"/>
    <col min="11269" max="11269" width="3.125" style="1" customWidth="1"/>
    <col min="11270" max="11270" width="5.375" style="1" customWidth="1"/>
    <col min="11271" max="11271" width="9.875" style="1" customWidth="1"/>
    <col min="11272" max="11272" width="10.125" style="1" customWidth="1"/>
    <col min="11273" max="11273" width="11" style="1" customWidth="1"/>
    <col min="11274" max="11274" width="9.875" style="1" customWidth="1"/>
    <col min="11275" max="11275" width="10.25" style="1" customWidth="1"/>
    <col min="11276" max="11276" width="9.75" style="1" customWidth="1"/>
    <col min="11277" max="11277" width="9.375" style="1" customWidth="1"/>
    <col min="11278" max="11278" width="10.125" style="1" customWidth="1"/>
    <col min="11279" max="11279" width="11" style="1" customWidth="1"/>
    <col min="11280" max="11280" width="9.875" style="1" customWidth="1"/>
    <col min="11281" max="11281" width="10.25" style="1" customWidth="1"/>
    <col min="11282" max="11520" width="9" style="1"/>
    <col min="11521" max="11521" width="7.625" style="1" customWidth="1"/>
    <col min="11522" max="11523" width="4.25" style="1" customWidth="1"/>
    <col min="11524" max="11524" width="5.375" style="1" customWidth="1"/>
    <col min="11525" max="11525" width="3.125" style="1" customWidth="1"/>
    <col min="11526" max="11526" width="5.375" style="1" customWidth="1"/>
    <col min="11527" max="11527" width="9.875" style="1" customWidth="1"/>
    <col min="11528" max="11528" width="10.125" style="1" customWidth="1"/>
    <col min="11529" max="11529" width="11" style="1" customWidth="1"/>
    <col min="11530" max="11530" width="9.875" style="1" customWidth="1"/>
    <col min="11531" max="11531" width="10.25" style="1" customWidth="1"/>
    <col min="11532" max="11532" width="9.75" style="1" customWidth="1"/>
    <col min="11533" max="11533" width="9.375" style="1" customWidth="1"/>
    <col min="11534" max="11534" width="10.125" style="1" customWidth="1"/>
    <col min="11535" max="11535" width="11" style="1" customWidth="1"/>
    <col min="11536" max="11536" width="9.875" style="1" customWidth="1"/>
    <col min="11537" max="11537" width="10.25" style="1" customWidth="1"/>
    <col min="11538" max="11776" width="9" style="1"/>
    <col min="11777" max="11777" width="7.625" style="1" customWidth="1"/>
    <col min="11778" max="11779" width="4.25" style="1" customWidth="1"/>
    <col min="11780" max="11780" width="5.375" style="1" customWidth="1"/>
    <col min="11781" max="11781" width="3.125" style="1" customWidth="1"/>
    <col min="11782" max="11782" width="5.375" style="1" customWidth="1"/>
    <col min="11783" max="11783" width="9.875" style="1" customWidth="1"/>
    <col min="11784" max="11784" width="10.125" style="1" customWidth="1"/>
    <col min="11785" max="11785" width="11" style="1" customWidth="1"/>
    <col min="11786" max="11786" width="9.875" style="1" customWidth="1"/>
    <col min="11787" max="11787" width="10.25" style="1" customWidth="1"/>
    <col min="11788" max="11788" width="9.75" style="1" customWidth="1"/>
    <col min="11789" max="11789" width="9.375" style="1" customWidth="1"/>
    <col min="11790" max="11790" width="10.125" style="1" customWidth="1"/>
    <col min="11791" max="11791" width="11" style="1" customWidth="1"/>
    <col min="11792" max="11792" width="9.875" style="1" customWidth="1"/>
    <col min="11793" max="11793" width="10.25" style="1" customWidth="1"/>
    <col min="11794" max="12032" width="9" style="1"/>
    <col min="12033" max="12033" width="7.625" style="1" customWidth="1"/>
    <col min="12034" max="12035" width="4.25" style="1" customWidth="1"/>
    <col min="12036" max="12036" width="5.375" style="1" customWidth="1"/>
    <col min="12037" max="12037" width="3.125" style="1" customWidth="1"/>
    <col min="12038" max="12038" width="5.375" style="1" customWidth="1"/>
    <col min="12039" max="12039" width="9.875" style="1" customWidth="1"/>
    <col min="12040" max="12040" width="10.125" style="1" customWidth="1"/>
    <col min="12041" max="12041" width="11" style="1" customWidth="1"/>
    <col min="12042" max="12042" width="9.875" style="1" customWidth="1"/>
    <col min="12043" max="12043" width="10.25" style="1" customWidth="1"/>
    <col min="12044" max="12044" width="9.75" style="1" customWidth="1"/>
    <col min="12045" max="12045" width="9.375" style="1" customWidth="1"/>
    <col min="12046" max="12046" width="10.125" style="1" customWidth="1"/>
    <col min="12047" max="12047" width="11" style="1" customWidth="1"/>
    <col min="12048" max="12048" width="9.875" style="1" customWidth="1"/>
    <col min="12049" max="12049" width="10.25" style="1" customWidth="1"/>
    <col min="12050" max="12288" width="9" style="1"/>
    <col min="12289" max="12289" width="7.625" style="1" customWidth="1"/>
    <col min="12290" max="12291" width="4.25" style="1" customWidth="1"/>
    <col min="12292" max="12292" width="5.375" style="1" customWidth="1"/>
    <col min="12293" max="12293" width="3.125" style="1" customWidth="1"/>
    <col min="12294" max="12294" width="5.375" style="1" customWidth="1"/>
    <col min="12295" max="12295" width="9.875" style="1" customWidth="1"/>
    <col min="12296" max="12296" width="10.125" style="1" customWidth="1"/>
    <col min="12297" max="12297" width="11" style="1" customWidth="1"/>
    <col min="12298" max="12298" width="9.875" style="1" customWidth="1"/>
    <col min="12299" max="12299" width="10.25" style="1" customWidth="1"/>
    <col min="12300" max="12300" width="9.75" style="1" customWidth="1"/>
    <col min="12301" max="12301" width="9.375" style="1" customWidth="1"/>
    <col min="12302" max="12302" width="10.125" style="1" customWidth="1"/>
    <col min="12303" max="12303" width="11" style="1" customWidth="1"/>
    <col min="12304" max="12304" width="9.875" style="1" customWidth="1"/>
    <col min="12305" max="12305" width="10.25" style="1" customWidth="1"/>
    <col min="12306" max="12544" width="9" style="1"/>
    <col min="12545" max="12545" width="7.625" style="1" customWidth="1"/>
    <col min="12546" max="12547" width="4.25" style="1" customWidth="1"/>
    <col min="12548" max="12548" width="5.375" style="1" customWidth="1"/>
    <col min="12549" max="12549" width="3.125" style="1" customWidth="1"/>
    <col min="12550" max="12550" width="5.375" style="1" customWidth="1"/>
    <col min="12551" max="12551" width="9.875" style="1" customWidth="1"/>
    <col min="12552" max="12552" width="10.125" style="1" customWidth="1"/>
    <col min="12553" max="12553" width="11" style="1" customWidth="1"/>
    <col min="12554" max="12554" width="9.875" style="1" customWidth="1"/>
    <col min="12555" max="12555" width="10.25" style="1" customWidth="1"/>
    <col min="12556" max="12556" width="9.75" style="1" customWidth="1"/>
    <col min="12557" max="12557" width="9.375" style="1" customWidth="1"/>
    <col min="12558" max="12558" width="10.125" style="1" customWidth="1"/>
    <col min="12559" max="12559" width="11" style="1" customWidth="1"/>
    <col min="12560" max="12560" width="9.875" style="1" customWidth="1"/>
    <col min="12561" max="12561" width="10.25" style="1" customWidth="1"/>
    <col min="12562" max="12800" width="9" style="1"/>
    <col min="12801" max="12801" width="7.625" style="1" customWidth="1"/>
    <col min="12802" max="12803" width="4.25" style="1" customWidth="1"/>
    <col min="12804" max="12804" width="5.375" style="1" customWidth="1"/>
    <col min="12805" max="12805" width="3.125" style="1" customWidth="1"/>
    <col min="12806" max="12806" width="5.375" style="1" customWidth="1"/>
    <col min="12807" max="12807" width="9.875" style="1" customWidth="1"/>
    <col min="12808" max="12808" width="10.125" style="1" customWidth="1"/>
    <col min="12809" max="12809" width="11" style="1" customWidth="1"/>
    <col min="12810" max="12810" width="9.875" style="1" customWidth="1"/>
    <col min="12811" max="12811" width="10.25" style="1" customWidth="1"/>
    <col min="12812" max="12812" width="9.75" style="1" customWidth="1"/>
    <col min="12813" max="12813" width="9.375" style="1" customWidth="1"/>
    <col min="12814" max="12814" width="10.125" style="1" customWidth="1"/>
    <col min="12815" max="12815" width="11" style="1" customWidth="1"/>
    <col min="12816" max="12816" width="9.875" style="1" customWidth="1"/>
    <col min="12817" max="12817" width="10.25" style="1" customWidth="1"/>
    <col min="12818" max="13056" width="9" style="1"/>
    <col min="13057" max="13057" width="7.625" style="1" customWidth="1"/>
    <col min="13058" max="13059" width="4.25" style="1" customWidth="1"/>
    <col min="13060" max="13060" width="5.375" style="1" customWidth="1"/>
    <col min="13061" max="13061" width="3.125" style="1" customWidth="1"/>
    <col min="13062" max="13062" width="5.375" style="1" customWidth="1"/>
    <col min="13063" max="13063" width="9.875" style="1" customWidth="1"/>
    <col min="13064" max="13064" width="10.125" style="1" customWidth="1"/>
    <col min="13065" max="13065" width="11" style="1" customWidth="1"/>
    <col min="13066" max="13066" width="9.875" style="1" customWidth="1"/>
    <col min="13067" max="13067" width="10.25" style="1" customWidth="1"/>
    <col min="13068" max="13068" width="9.75" style="1" customWidth="1"/>
    <col min="13069" max="13069" width="9.375" style="1" customWidth="1"/>
    <col min="13070" max="13070" width="10.125" style="1" customWidth="1"/>
    <col min="13071" max="13071" width="11" style="1" customWidth="1"/>
    <col min="13072" max="13072" width="9.875" style="1" customWidth="1"/>
    <col min="13073" max="13073" width="10.25" style="1" customWidth="1"/>
    <col min="13074" max="13312" width="9" style="1"/>
    <col min="13313" max="13313" width="7.625" style="1" customWidth="1"/>
    <col min="13314" max="13315" width="4.25" style="1" customWidth="1"/>
    <col min="13316" max="13316" width="5.375" style="1" customWidth="1"/>
    <col min="13317" max="13317" width="3.125" style="1" customWidth="1"/>
    <col min="13318" max="13318" width="5.375" style="1" customWidth="1"/>
    <col min="13319" max="13319" width="9.875" style="1" customWidth="1"/>
    <col min="13320" max="13320" width="10.125" style="1" customWidth="1"/>
    <col min="13321" max="13321" width="11" style="1" customWidth="1"/>
    <col min="13322" max="13322" width="9.875" style="1" customWidth="1"/>
    <col min="13323" max="13323" width="10.25" style="1" customWidth="1"/>
    <col min="13324" max="13324" width="9.75" style="1" customWidth="1"/>
    <col min="13325" max="13325" width="9.375" style="1" customWidth="1"/>
    <col min="13326" max="13326" width="10.125" style="1" customWidth="1"/>
    <col min="13327" max="13327" width="11" style="1" customWidth="1"/>
    <col min="13328" max="13328" width="9.875" style="1" customWidth="1"/>
    <col min="13329" max="13329" width="10.25" style="1" customWidth="1"/>
    <col min="13330" max="13568" width="9" style="1"/>
    <col min="13569" max="13569" width="7.625" style="1" customWidth="1"/>
    <col min="13570" max="13571" width="4.25" style="1" customWidth="1"/>
    <col min="13572" max="13572" width="5.375" style="1" customWidth="1"/>
    <col min="13573" max="13573" width="3.125" style="1" customWidth="1"/>
    <col min="13574" max="13574" width="5.375" style="1" customWidth="1"/>
    <col min="13575" max="13575" width="9.875" style="1" customWidth="1"/>
    <col min="13576" max="13576" width="10.125" style="1" customWidth="1"/>
    <col min="13577" max="13577" width="11" style="1" customWidth="1"/>
    <col min="13578" max="13578" width="9.875" style="1" customWidth="1"/>
    <col min="13579" max="13579" width="10.25" style="1" customWidth="1"/>
    <col min="13580" max="13580" width="9.75" style="1" customWidth="1"/>
    <col min="13581" max="13581" width="9.375" style="1" customWidth="1"/>
    <col min="13582" max="13582" width="10.125" style="1" customWidth="1"/>
    <col min="13583" max="13583" width="11" style="1" customWidth="1"/>
    <col min="13584" max="13584" width="9.875" style="1" customWidth="1"/>
    <col min="13585" max="13585" width="10.25" style="1" customWidth="1"/>
    <col min="13586" max="13824" width="9" style="1"/>
    <col min="13825" max="13825" width="7.625" style="1" customWidth="1"/>
    <col min="13826" max="13827" width="4.25" style="1" customWidth="1"/>
    <col min="13828" max="13828" width="5.375" style="1" customWidth="1"/>
    <col min="13829" max="13829" width="3.125" style="1" customWidth="1"/>
    <col min="13830" max="13830" width="5.375" style="1" customWidth="1"/>
    <col min="13831" max="13831" width="9.875" style="1" customWidth="1"/>
    <col min="13832" max="13832" width="10.125" style="1" customWidth="1"/>
    <col min="13833" max="13833" width="11" style="1" customWidth="1"/>
    <col min="13834" max="13834" width="9.875" style="1" customWidth="1"/>
    <col min="13835" max="13835" width="10.25" style="1" customWidth="1"/>
    <col min="13836" max="13836" width="9.75" style="1" customWidth="1"/>
    <col min="13837" max="13837" width="9.375" style="1" customWidth="1"/>
    <col min="13838" max="13838" width="10.125" style="1" customWidth="1"/>
    <col min="13839" max="13839" width="11" style="1" customWidth="1"/>
    <col min="13840" max="13840" width="9.875" style="1" customWidth="1"/>
    <col min="13841" max="13841" width="10.25" style="1" customWidth="1"/>
    <col min="13842" max="14080" width="9" style="1"/>
    <col min="14081" max="14081" width="7.625" style="1" customWidth="1"/>
    <col min="14082" max="14083" width="4.25" style="1" customWidth="1"/>
    <col min="14084" max="14084" width="5.375" style="1" customWidth="1"/>
    <col min="14085" max="14085" width="3.125" style="1" customWidth="1"/>
    <col min="14086" max="14086" width="5.375" style="1" customWidth="1"/>
    <col min="14087" max="14087" width="9.875" style="1" customWidth="1"/>
    <col min="14088" max="14088" width="10.125" style="1" customWidth="1"/>
    <col min="14089" max="14089" width="11" style="1" customWidth="1"/>
    <col min="14090" max="14090" width="9.875" style="1" customWidth="1"/>
    <col min="14091" max="14091" width="10.25" style="1" customWidth="1"/>
    <col min="14092" max="14092" width="9.75" style="1" customWidth="1"/>
    <col min="14093" max="14093" width="9.375" style="1" customWidth="1"/>
    <col min="14094" max="14094" width="10.125" style="1" customWidth="1"/>
    <col min="14095" max="14095" width="11" style="1" customWidth="1"/>
    <col min="14096" max="14096" width="9.875" style="1" customWidth="1"/>
    <col min="14097" max="14097" width="10.25" style="1" customWidth="1"/>
    <col min="14098" max="14336" width="9" style="1"/>
    <col min="14337" max="14337" width="7.625" style="1" customWidth="1"/>
    <col min="14338" max="14339" width="4.25" style="1" customWidth="1"/>
    <col min="14340" max="14340" width="5.375" style="1" customWidth="1"/>
    <col min="14341" max="14341" width="3.125" style="1" customWidth="1"/>
    <col min="14342" max="14342" width="5.375" style="1" customWidth="1"/>
    <col min="14343" max="14343" width="9.875" style="1" customWidth="1"/>
    <col min="14344" max="14344" width="10.125" style="1" customWidth="1"/>
    <col min="14345" max="14345" width="11" style="1" customWidth="1"/>
    <col min="14346" max="14346" width="9.875" style="1" customWidth="1"/>
    <col min="14347" max="14347" width="10.25" style="1" customWidth="1"/>
    <col min="14348" max="14348" width="9.75" style="1" customWidth="1"/>
    <col min="14349" max="14349" width="9.375" style="1" customWidth="1"/>
    <col min="14350" max="14350" width="10.125" style="1" customWidth="1"/>
    <col min="14351" max="14351" width="11" style="1" customWidth="1"/>
    <col min="14352" max="14352" width="9.875" style="1" customWidth="1"/>
    <col min="14353" max="14353" width="10.25" style="1" customWidth="1"/>
    <col min="14354" max="14592" width="9" style="1"/>
    <col min="14593" max="14593" width="7.625" style="1" customWidth="1"/>
    <col min="14594" max="14595" width="4.25" style="1" customWidth="1"/>
    <col min="14596" max="14596" width="5.375" style="1" customWidth="1"/>
    <col min="14597" max="14597" width="3.125" style="1" customWidth="1"/>
    <col min="14598" max="14598" width="5.375" style="1" customWidth="1"/>
    <col min="14599" max="14599" width="9.875" style="1" customWidth="1"/>
    <col min="14600" max="14600" width="10.125" style="1" customWidth="1"/>
    <col min="14601" max="14601" width="11" style="1" customWidth="1"/>
    <col min="14602" max="14602" width="9.875" style="1" customWidth="1"/>
    <col min="14603" max="14603" width="10.25" style="1" customWidth="1"/>
    <col min="14604" max="14604" width="9.75" style="1" customWidth="1"/>
    <col min="14605" max="14605" width="9.375" style="1" customWidth="1"/>
    <col min="14606" max="14606" width="10.125" style="1" customWidth="1"/>
    <col min="14607" max="14607" width="11" style="1" customWidth="1"/>
    <col min="14608" max="14608" width="9.875" style="1" customWidth="1"/>
    <col min="14609" max="14609" width="10.25" style="1" customWidth="1"/>
    <col min="14610" max="14848" width="9" style="1"/>
    <col min="14849" max="14849" width="7.625" style="1" customWidth="1"/>
    <col min="14850" max="14851" width="4.25" style="1" customWidth="1"/>
    <col min="14852" max="14852" width="5.375" style="1" customWidth="1"/>
    <col min="14853" max="14853" width="3.125" style="1" customWidth="1"/>
    <col min="14854" max="14854" width="5.375" style="1" customWidth="1"/>
    <col min="14855" max="14855" width="9.875" style="1" customWidth="1"/>
    <col min="14856" max="14856" width="10.125" style="1" customWidth="1"/>
    <col min="14857" max="14857" width="11" style="1" customWidth="1"/>
    <col min="14858" max="14858" width="9.875" style="1" customWidth="1"/>
    <col min="14859" max="14859" width="10.25" style="1" customWidth="1"/>
    <col min="14860" max="14860" width="9.75" style="1" customWidth="1"/>
    <col min="14861" max="14861" width="9.375" style="1" customWidth="1"/>
    <col min="14862" max="14862" width="10.125" style="1" customWidth="1"/>
    <col min="14863" max="14863" width="11" style="1" customWidth="1"/>
    <col min="14864" max="14864" width="9.875" style="1" customWidth="1"/>
    <col min="14865" max="14865" width="10.25" style="1" customWidth="1"/>
    <col min="14866" max="15104" width="9" style="1"/>
    <col min="15105" max="15105" width="7.625" style="1" customWidth="1"/>
    <col min="15106" max="15107" width="4.25" style="1" customWidth="1"/>
    <col min="15108" max="15108" width="5.375" style="1" customWidth="1"/>
    <col min="15109" max="15109" width="3.125" style="1" customWidth="1"/>
    <col min="15110" max="15110" width="5.375" style="1" customWidth="1"/>
    <col min="15111" max="15111" width="9.875" style="1" customWidth="1"/>
    <col min="15112" max="15112" width="10.125" style="1" customWidth="1"/>
    <col min="15113" max="15113" width="11" style="1" customWidth="1"/>
    <col min="15114" max="15114" width="9.875" style="1" customWidth="1"/>
    <col min="15115" max="15115" width="10.25" style="1" customWidth="1"/>
    <col min="15116" max="15116" width="9.75" style="1" customWidth="1"/>
    <col min="15117" max="15117" width="9.375" style="1" customWidth="1"/>
    <col min="15118" max="15118" width="10.125" style="1" customWidth="1"/>
    <col min="15119" max="15119" width="11" style="1" customWidth="1"/>
    <col min="15120" max="15120" width="9.875" style="1" customWidth="1"/>
    <col min="15121" max="15121" width="10.25" style="1" customWidth="1"/>
    <col min="15122" max="15360" width="9" style="1"/>
    <col min="15361" max="15361" width="7.625" style="1" customWidth="1"/>
    <col min="15362" max="15363" width="4.25" style="1" customWidth="1"/>
    <col min="15364" max="15364" width="5.375" style="1" customWidth="1"/>
    <col min="15365" max="15365" width="3.125" style="1" customWidth="1"/>
    <col min="15366" max="15366" width="5.375" style="1" customWidth="1"/>
    <col min="15367" max="15367" width="9.875" style="1" customWidth="1"/>
    <col min="15368" max="15368" width="10.125" style="1" customWidth="1"/>
    <col min="15369" max="15369" width="11" style="1" customWidth="1"/>
    <col min="15370" max="15370" width="9.875" style="1" customWidth="1"/>
    <col min="15371" max="15371" width="10.25" style="1" customWidth="1"/>
    <col min="15372" max="15372" width="9.75" style="1" customWidth="1"/>
    <col min="15373" max="15373" width="9.375" style="1" customWidth="1"/>
    <col min="15374" max="15374" width="10.125" style="1" customWidth="1"/>
    <col min="15375" max="15375" width="11" style="1" customWidth="1"/>
    <col min="15376" max="15376" width="9.875" style="1" customWidth="1"/>
    <col min="15377" max="15377" width="10.25" style="1" customWidth="1"/>
    <col min="15378" max="15616" width="9" style="1"/>
    <col min="15617" max="15617" width="7.625" style="1" customWidth="1"/>
    <col min="15618" max="15619" width="4.25" style="1" customWidth="1"/>
    <col min="15620" max="15620" width="5.375" style="1" customWidth="1"/>
    <col min="15621" max="15621" width="3.125" style="1" customWidth="1"/>
    <col min="15622" max="15622" width="5.375" style="1" customWidth="1"/>
    <col min="15623" max="15623" width="9.875" style="1" customWidth="1"/>
    <col min="15624" max="15624" width="10.125" style="1" customWidth="1"/>
    <col min="15625" max="15625" width="11" style="1" customWidth="1"/>
    <col min="15626" max="15626" width="9.875" style="1" customWidth="1"/>
    <col min="15627" max="15627" width="10.25" style="1" customWidth="1"/>
    <col min="15628" max="15628" width="9.75" style="1" customWidth="1"/>
    <col min="15629" max="15629" width="9.375" style="1" customWidth="1"/>
    <col min="15630" max="15630" width="10.125" style="1" customWidth="1"/>
    <col min="15631" max="15631" width="11" style="1" customWidth="1"/>
    <col min="15632" max="15632" width="9.875" style="1" customWidth="1"/>
    <col min="15633" max="15633" width="10.25" style="1" customWidth="1"/>
    <col min="15634" max="15872" width="9" style="1"/>
    <col min="15873" max="15873" width="7.625" style="1" customWidth="1"/>
    <col min="15874" max="15875" width="4.25" style="1" customWidth="1"/>
    <col min="15876" max="15876" width="5.375" style="1" customWidth="1"/>
    <col min="15877" max="15877" width="3.125" style="1" customWidth="1"/>
    <col min="15878" max="15878" width="5.375" style="1" customWidth="1"/>
    <col min="15879" max="15879" width="9.875" style="1" customWidth="1"/>
    <col min="15880" max="15880" width="10.125" style="1" customWidth="1"/>
    <col min="15881" max="15881" width="11" style="1" customWidth="1"/>
    <col min="15882" max="15882" width="9.875" style="1" customWidth="1"/>
    <col min="15883" max="15883" width="10.25" style="1" customWidth="1"/>
    <col min="15884" max="15884" width="9.75" style="1" customWidth="1"/>
    <col min="15885" max="15885" width="9.375" style="1" customWidth="1"/>
    <col min="15886" max="15886" width="10.125" style="1" customWidth="1"/>
    <col min="15887" max="15887" width="11" style="1" customWidth="1"/>
    <col min="15888" max="15888" width="9.875" style="1" customWidth="1"/>
    <col min="15889" max="15889" width="10.25" style="1" customWidth="1"/>
    <col min="15890" max="16128" width="9" style="1"/>
    <col min="16129" max="16129" width="7.625" style="1" customWidth="1"/>
    <col min="16130" max="16131" width="4.25" style="1" customWidth="1"/>
    <col min="16132" max="16132" width="5.375" style="1" customWidth="1"/>
    <col min="16133" max="16133" width="3.125" style="1" customWidth="1"/>
    <col min="16134" max="16134" width="5.375" style="1" customWidth="1"/>
    <col min="16135" max="16135" width="9.875" style="1" customWidth="1"/>
    <col min="16136" max="16136" width="10.125" style="1" customWidth="1"/>
    <col min="16137" max="16137" width="11" style="1" customWidth="1"/>
    <col min="16138" max="16138" width="9.875" style="1" customWidth="1"/>
    <col min="16139" max="16139" width="10.25" style="1" customWidth="1"/>
    <col min="16140" max="16140" width="9.75" style="1" customWidth="1"/>
    <col min="16141" max="16141" width="9.375" style="1" customWidth="1"/>
    <col min="16142" max="16142" width="10.125" style="1" customWidth="1"/>
    <col min="16143" max="16143" width="11" style="1" customWidth="1"/>
    <col min="16144" max="16144" width="9.875" style="1" customWidth="1"/>
    <col min="16145" max="16145" width="10.25" style="1" customWidth="1"/>
    <col min="16146" max="16384" width="9" style="1"/>
  </cols>
  <sheetData>
    <row r="1" spans="1:255" s="13" customFormat="1" ht="18" customHeight="1">
      <c r="A1" s="163" t="s">
        <v>56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4"/>
      <c r="M1" s="12" t="s">
        <v>25</v>
      </c>
      <c r="N1" s="12" t="s">
        <v>26</v>
      </c>
      <c r="O1" s="12" t="s">
        <v>27</v>
      </c>
      <c r="P1" s="12" t="s">
        <v>28</v>
      </c>
      <c r="Q1" s="12" t="s">
        <v>29</v>
      </c>
    </row>
    <row r="2" spans="1:255" s="13" customFormat="1" ht="39.950000000000003" customHeight="1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4"/>
      <c r="M2" s="12"/>
      <c r="N2" s="12"/>
      <c r="O2" s="12"/>
      <c r="P2" s="12"/>
      <c r="Q2" s="12"/>
    </row>
    <row r="3" spans="1:255" s="2" customFormat="1" ht="14.25">
      <c r="A3" s="145" t="s">
        <v>24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</row>
    <row r="4" spans="1:255" s="4" customFormat="1" ht="14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</row>
    <row r="5" spans="1:255" s="6" customFormat="1" ht="11.25" customHeight="1">
      <c r="A5" s="146" t="s">
        <v>35</v>
      </c>
      <c r="B5" s="147"/>
      <c r="C5" s="147"/>
      <c r="D5" s="152" t="s">
        <v>1</v>
      </c>
      <c r="E5" s="152"/>
      <c r="F5" s="153"/>
      <c r="G5" s="156" t="s">
        <v>2</v>
      </c>
      <c r="H5" s="156"/>
      <c r="I5" s="156"/>
      <c r="J5" s="156"/>
      <c r="K5" s="157"/>
      <c r="L5" s="158"/>
      <c r="M5" s="159" t="s">
        <v>3</v>
      </c>
      <c r="N5" s="159"/>
      <c r="O5" s="159"/>
      <c r="P5" s="159"/>
      <c r="Q5" s="159"/>
      <c r="R5" s="5"/>
    </row>
    <row r="6" spans="1:255" s="6" customFormat="1" ht="11.25" customHeight="1">
      <c r="A6" s="148"/>
      <c r="B6" s="149"/>
      <c r="C6" s="149"/>
      <c r="D6" s="154"/>
      <c r="E6" s="154"/>
      <c r="F6" s="155"/>
      <c r="G6" s="141" t="s">
        <v>79</v>
      </c>
      <c r="H6" s="141" t="s">
        <v>5</v>
      </c>
      <c r="I6" s="141" t="s">
        <v>80</v>
      </c>
      <c r="J6" s="143" t="s">
        <v>81</v>
      </c>
      <c r="K6" s="141" t="s">
        <v>82</v>
      </c>
      <c r="L6" s="173" t="s">
        <v>9</v>
      </c>
      <c r="M6" s="161" t="s">
        <v>4</v>
      </c>
      <c r="N6" s="141" t="s">
        <v>5</v>
      </c>
      <c r="O6" s="141" t="s">
        <v>6</v>
      </c>
      <c r="P6" s="143" t="s">
        <v>7</v>
      </c>
      <c r="Q6" s="141" t="s">
        <v>8</v>
      </c>
    </row>
    <row r="7" spans="1:255" s="6" customFormat="1" ht="12" customHeight="1">
      <c r="A7" s="150"/>
      <c r="B7" s="151"/>
      <c r="C7" s="151"/>
      <c r="D7" s="154"/>
      <c r="E7" s="154"/>
      <c r="F7" s="155"/>
      <c r="G7" s="160"/>
      <c r="H7" s="160"/>
      <c r="I7" s="160"/>
      <c r="J7" s="144"/>
      <c r="K7" s="142"/>
      <c r="L7" s="174"/>
      <c r="M7" s="162"/>
      <c r="N7" s="142"/>
      <c r="O7" s="142"/>
      <c r="P7" s="144"/>
      <c r="Q7" s="142"/>
    </row>
    <row r="8" spans="1:255" s="7" customFormat="1" ht="14.1" customHeight="1">
      <c r="A8" s="166" t="s">
        <v>36</v>
      </c>
      <c r="B8" s="171" t="s">
        <v>10</v>
      </c>
      <c r="C8" s="171"/>
      <c r="D8" s="22">
        <f>D11+7</f>
        <v>39792</v>
      </c>
      <c r="E8" s="23" t="s">
        <v>37</v>
      </c>
      <c r="F8" s="24">
        <f>D8+2</f>
        <v>39794</v>
      </c>
      <c r="G8" s="25"/>
      <c r="H8" s="101"/>
      <c r="I8" s="25"/>
      <c r="J8" s="26"/>
      <c r="K8" s="102"/>
      <c r="L8" s="27"/>
      <c r="M8" s="102"/>
      <c r="N8" s="103"/>
      <c r="O8" s="104"/>
      <c r="P8" s="26"/>
      <c r="Q8" s="102"/>
    </row>
    <row r="9" spans="1:255" s="7" customFormat="1" ht="14.1" customHeight="1">
      <c r="A9" s="166"/>
      <c r="B9" s="169" t="s">
        <v>12</v>
      </c>
      <c r="C9" s="169"/>
      <c r="D9" s="28">
        <f>D8+3</f>
        <v>39795</v>
      </c>
      <c r="E9" s="29" t="s">
        <v>37</v>
      </c>
      <c r="F9" s="30">
        <f>D9+2</f>
        <v>39797</v>
      </c>
      <c r="G9" s="105"/>
      <c r="H9" s="105"/>
      <c r="I9" s="105"/>
      <c r="J9" s="106"/>
      <c r="K9" s="107"/>
      <c r="L9" s="108"/>
      <c r="M9" s="107"/>
      <c r="N9" s="105"/>
      <c r="O9" s="109"/>
      <c r="P9" s="106"/>
      <c r="Q9" s="107"/>
    </row>
    <row r="10" spans="1:255" s="7" customFormat="1" ht="14.1" customHeight="1">
      <c r="A10" s="166"/>
      <c r="B10" s="172"/>
      <c r="C10" s="172"/>
      <c r="D10" s="31">
        <f>D8</f>
        <v>39792</v>
      </c>
      <c r="E10" s="32" t="s">
        <v>49</v>
      </c>
      <c r="F10" s="33">
        <f>F9</f>
        <v>39797</v>
      </c>
      <c r="G10" s="34"/>
      <c r="H10" s="35"/>
      <c r="I10" s="34"/>
      <c r="J10" s="110"/>
      <c r="K10" s="35"/>
      <c r="L10" s="111"/>
      <c r="M10" s="36"/>
      <c r="N10" s="35"/>
      <c r="O10" s="35"/>
      <c r="P10" s="110"/>
      <c r="Q10" s="35"/>
    </row>
    <row r="11" spans="1:255" ht="14.1" customHeight="1">
      <c r="A11" s="165" t="s">
        <v>57</v>
      </c>
      <c r="B11" s="168" t="s">
        <v>10</v>
      </c>
      <c r="C11" s="168"/>
      <c r="D11" s="22">
        <f>D14+7</f>
        <v>39785</v>
      </c>
      <c r="E11" s="23" t="s">
        <v>49</v>
      </c>
      <c r="F11" s="24">
        <f>D11+2</f>
        <v>39787</v>
      </c>
      <c r="G11" s="103"/>
      <c r="H11" s="103"/>
      <c r="I11" s="103"/>
      <c r="J11" s="26"/>
      <c r="K11" s="103"/>
      <c r="L11" s="112"/>
      <c r="M11" s="102"/>
      <c r="N11" s="103"/>
      <c r="O11" s="103"/>
      <c r="P11" s="113"/>
      <c r="Q11" s="103"/>
      <c r="R11" s="99"/>
    </row>
    <row r="12" spans="1:255" ht="14.1" customHeight="1">
      <c r="A12" s="166"/>
      <c r="B12" s="169" t="s">
        <v>12</v>
      </c>
      <c r="C12" s="169"/>
      <c r="D12" s="28">
        <f>D11+3</f>
        <v>39788</v>
      </c>
      <c r="E12" s="29" t="s">
        <v>49</v>
      </c>
      <c r="F12" s="30">
        <f>D12+2</f>
        <v>39790</v>
      </c>
      <c r="G12" s="105"/>
      <c r="H12" s="105"/>
      <c r="I12" s="105"/>
      <c r="J12" s="106"/>
      <c r="K12" s="105"/>
      <c r="L12" s="108"/>
      <c r="M12" s="107"/>
      <c r="N12" s="105"/>
      <c r="O12" s="105"/>
      <c r="P12" s="37"/>
      <c r="Q12" s="105"/>
      <c r="R12" s="99"/>
    </row>
    <row r="13" spans="1:255" ht="14.1" customHeight="1">
      <c r="A13" s="167"/>
      <c r="B13" s="170"/>
      <c r="C13" s="170"/>
      <c r="D13" s="38">
        <f>D11</f>
        <v>39785</v>
      </c>
      <c r="E13" s="39" t="s">
        <v>49</v>
      </c>
      <c r="F13" s="40">
        <f>F12</f>
        <v>39790</v>
      </c>
      <c r="G13" s="34"/>
      <c r="H13" s="34"/>
      <c r="I13" s="34"/>
      <c r="J13" s="110"/>
      <c r="K13" s="34"/>
      <c r="L13" s="41"/>
      <c r="M13" s="114"/>
      <c r="N13" s="34"/>
      <c r="O13" s="34"/>
      <c r="P13" s="110"/>
      <c r="Q13" s="34"/>
    </row>
    <row r="14" spans="1:255" ht="14.1" customHeight="1">
      <c r="A14" s="166" t="s">
        <v>58</v>
      </c>
      <c r="B14" s="171" t="s">
        <v>10</v>
      </c>
      <c r="C14" s="171"/>
      <c r="D14" s="42">
        <f>D17+7</f>
        <v>39778</v>
      </c>
      <c r="E14" s="43" t="s">
        <v>49</v>
      </c>
      <c r="F14" s="44">
        <f>D14+2</f>
        <v>39780</v>
      </c>
      <c r="G14" s="103"/>
      <c r="H14" s="25"/>
      <c r="I14" s="103"/>
      <c r="J14" s="26"/>
      <c r="K14" s="25"/>
      <c r="L14" s="27"/>
      <c r="M14" s="45"/>
      <c r="N14" s="25"/>
      <c r="O14" s="25"/>
      <c r="P14" s="37"/>
      <c r="Q14" s="25"/>
    </row>
    <row r="15" spans="1:255" ht="14.1" customHeight="1">
      <c r="A15" s="166"/>
      <c r="B15" s="169" t="s">
        <v>12</v>
      </c>
      <c r="C15" s="169"/>
      <c r="D15" s="28">
        <f>D14+3</f>
        <v>39781</v>
      </c>
      <c r="E15" s="29" t="s">
        <v>49</v>
      </c>
      <c r="F15" s="30">
        <f>D15+2</f>
        <v>39783</v>
      </c>
      <c r="G15" s="105"/>
      <c r="H15" s="105"/>
      <c r="I15" s="105"/>
      <c r="J15" s="106"/>
      <c r="K15" s="105"/>
      <c r="L15" s="108"/>
      <c r="M15" s="107"/>
      <c r="N15" s="105"/>
      <c r="O15" s="105"/>
      <c r="P15" s="37"/>
      <c r="Q15" s="105"/>
      <c r="R15" s="175"/>
      <c r="S15" s="176"/>
    </row>
    <row r="16" spans="1:255" ht="14.1" customHeight="1">
      <c r="A16" s="166"/>
      <c r="B16" s="172"/>
      <c r="C16" s="172"/>
      <c r="D16" s="31">
        <f>D14</f>
        <v>39778</v>
      </c>
      <c r="E16" s="32" t="s">
        <v>49</v>
      </c>
      <c r="F16" s="33">
        <f>F15</f>
        <v>39783</v>
      </c>
      <c r="G16" s="35"/>
      <c r="H16" s="34"/>
      <c r="I16" s="35"/>
      <c r="J16" s="110"/>
      <c r="K16" s="35"/>
      <c r="L16" s="111"/>
      <c r="M16" s="36"/>
      <c r="N16" s="35"/>
      <c r="O16" s="35"/>
      <c r="P16" s="115"/>
      <c r="Q16" s="35"/>
    </row>
    <row r="17" spans="1:17" ht="14.1" customHeight="1">
      <c r="A17" s="165" t="s">
        <v>50</v>
      </c>
      <c r="B17" s="168" t="s">
        <v>10</v>
      </c>
      <c r="C17" s="168"/>
      <c r="D17" s="22">
        <f>D20+7</f>
        <v>39771</v>
      </c>
      <c r="E17" s="23" t="s">
        <v>49</v>
      </c>
      <c r="F17" s="24">
        <f>D17+2</f>
        <v>39773</v>
      </c>
      <c r="G17" s="103"/>
      <c r="H17" s="103"/>
      <c r="I17" s="103"/>
      <c r="J17" s="106"/>
      <c r="K17" s="103"/>
      <c r="L17" s="116"/>
      <c r="M17" s="102"/>
      <c r="N17" s="103"/>
      <c r="O17" s="103"/>
      <c r="P17" s="113"/>
      <c r="Q17" s="103"/>
    </row>
    <row r="18" spans="1:17" ht="14.1" customHeight="1">
      <c r="A18" s="166"/>
      <c r="B18" s="169" t="s">
        <v>12</v>
      </c>
      <c r="C18" s="169"/>
      <c r="D18" s="28">
        <f>D17+3</f>
        <v>39774</v>
      </c>
      <c r="E18" s="29" t="s">
        <v>49</v>
      </c>
      <c r="F18" s="30">
        <f>D18+2</f>
        <v>39776</v>
      </c>
      <c r="G18" s="105"/>
      <c r="H18" s="105"/>
      <c r="I18" s="105"/>
      <c r="J18" s="106"/>
      <c r="K18" s="105"/>
      <c r="L18" s="117"/>
      <c r="M18" s="107"/>
      <c r="N18" s="105"/>
      <c r="O18" s="105"/>
      <c r="P18" s="37"/>
      <c r="Q18" s="105"/>
    </row>
    <row r="19" spans="1:17" ht="14.1" customHeight="1">
      <c r="A19" s="167"/>
      <c r="B19" s="170"/>
      <c r="C19" s="170"/>
      <c r="D19" s="38">
        <f>D17</f>
        <v>39771</v>
      </c>
      <c r="E19" s="39" t="s">
        <v>49</v>
      </c>
      <c r="F19" s="40">
        <f>F18</f>
        <v>39776</v>
      </c>
      <c r="G19" s="34"/>
      <c r="H19" s="34"/>
      <c r="I19" s="34"/>
      <c r="J19" s="110"/>
      <c r="K19" s="34"/>
      <c r="L19" s="118"/>
      <c r="M19" s="114"/>
      <c r="N19" s="34"/>
      <c r="O19" s="34"/>
      <c r="P19" s="110"/>
      <c r="Q19" s="34"/>
    </row>
    <row r="20" spans="1:17" ht="14.1" customHeight="1">
      <c r="A20" s="166" t="s">
        <v>51</v>
      </c>
      <c r="B20" s="171" t="s">
        <v>10</v>
      </c>
      <c r="C20" s="171"/>
      <c r="D20" s="42">
        <f>D23+7</f>
        <v>39764</v>
      </c>
      <c r="E20" s="43" t="s">
        <v>49</v>
      </c>
      <c r="F20" s="44">
        <f>D20+2</f>
        <v>39766</v>
      </c>
      <c r="G20" s="25"/>
      <c r="H20" s="119"/>
      <c r="I20" s="25"/>
      <c r="J20" s="26"/>
      <c r="K20" s="103"/>
      <c r="L20" s="120"/>
      <c r="M20" s="102"/>
      <c r="N20" s="103"/>
      <c r="O20" s="103"/>
      <c r="P20" s="26"/>
      <c r="Q20" s="103"/>
    </row>
    <row r="21" spans="1:17" ht="14.1" customHeight="1">
      <c r="A21" s="166"/>
      <c r="B21" s="169" t="s">
        <v>12</v>
      </c>
      <c r="C21" s="169"/>
      <c r="D21" s="28">
        <f>D20+3</f>
        <v>39767</v>
      </c>
      <c r="E21" s="29" t="s">
        <v>49</v>
      </c>
      <c r="F21" s="30">
        <f>D21+2</f>
        <v>39769</v>
      </c>
      <c r="G21" s="105"/>
      <c r="H21" s="121"/>
      <c r="I21" s="105"/>
      <c r="J21" s="106"/>
      <c r="K21" s="105"/>
      <c r="L21" s="122"/>
      <c r="M21" s="107"/>
      <c r="N21" s="105"/>
      <c r="O21" s="105"/>
      <c r="P21" s="106"/>
      <c r="Q21" s="105"/>
    </row>
    <row r="22" spans="1:17" ht="14.1" customHeight="1">
      <c r="A22" s="166"/>
      <c r="B22" s="172"/>
      <c r="C22" s="172"/>
      <c r="D22" s="31">
        <f>D20</f>
        <v>39764</v>
      </c>
      <c r="E22" s="32" t="s">
        <v>49</v>
      </c>
      <c r="F22" s="33">
        <f>F21</f>
        <v>39769</v>
      </c>
      <c r="G22" s="35"/>
      <c r="H22" s="123"/>
      <c r="I22" s="35"/>
      <c r="J22" s="110"/>
      <c r="K22" s="34"/>
      <c r="L22" s="124"/>
      <c r="M22" s="114"/>
      <c r="N22" s="34"/>
      <c r="O22" s="34"/>
      <c r="P22" s="110"/>
      <c r="Q22" s="34"/>
    </row>
    <row r="23" spans="1:17" ht="14.1" customHeight="1">
      <c r="A23" s="165" t="s">
        <v>52</v>
      </c>
      <c r="B23" s="168" t="s">
        <v>10</v>
      </c>
      <c r="C23" s="168"/>
      <c r="D23" s="22">
        <f>D26+7</f>
        <v>39757</v>
      </c>
      <c r="E23" s="23" t="s">
        <v>49</v>
      </c>
      <c r="F23" s="24">
        <f>D23+2</f>
        <v>39759</v>
      </c>
      <c r="G23" s="103"/>
      <c r="H23" s="125"/>
      <c r="I23" s="103"/>
      <c r="J23" s="26"/>
      <c r="K23" s="25"/>
      <c r="L23" s="126"/>
      <c r="M23" s="45"/>
      <c r="N23" s="25"/>
      <c r="O23" s="25"/>
      <c r="P23" s="37"/>
      <c r="Q23" s="25"/>
    </row>
    <row r="24" spans="1:17" ht="14.1" customHeight="1">
      <c r="A24" s="166"/>
      <c r="B24" s="169" t="s">
        <v>12</v>
      </c>
      <c r="C24" s="169"/>
      <c r="D24" s="28">
        <f>D23+3</f>
        <v>39760</v>
      </c>
      <c r="E24" s="29" t="s">
        <v>49</v>
      </c>
      <c r="F24" s="30">
        <f>D24+2</f>
        <v>39762</v>
      </c>
      <c r="G24" s="105"/>
      <c r="H24" s="121"/>
      <c r="I24" s="105"/>
      <c r="J24" s="106"/>
      <c r="K24" s="105"/>
      <c r="L24" s="122"/>
      <c r="M24" s="107"/>
      <c r="N24" s="105"/>
      <c r="O24" s="105"/>
      <c r="P24" s="37"/>
      <c r="Q24" s="105"/>
    </row>
    <row r="25" spans="1:17" ht="14.1" customHeight="1">
      <c r="A25" s="167"/>
      <c r="B25" s="170"/>
      <c r="C25" s="170"/>
      <c r="D25" s="38">
        <f>D23</f>
        <v>39757</v>
      </c>
      <c r="E25" s="39" t="s">
        <v>49</v>
      </c>
      <c r="F25" s="40">
        <f>F24</f>
        <v>39762</v>
      </c>
      <c r="G25" s="35"/>
      <c r="H25" s="127"/>
      <c r="I25" s="35"/>
      <c r="J25" s="110"/>
      <c r="K25" s="35"/>
      <c r="L25" s="128"/>
      <c r="M25" s="36"/>
      <c r="N25" s="35"/>
      <c r="O25" s="35"/>
      <c r="P25" s="115"/>
      <c r="Q25" s="35"/>
    </row>
    <row r="26" spans="1:17" ht="14.1" customHeight="1">
      <c r="A26" s="166" t="s">
        <v>53</v>
      </c>
      <c r="B26" s="171" t="s">
        <v>10</v>
      </c>
      <c r="C26" s="171"/>
      <c r="D26" s="42">
        <v>39750</v>
      </c>
      <c r="E26" s="43" t="s">
        <v>49</v>
      </c>
      <c r="F26" s="44">
        <f>D26+2</f>
        <v>39752</v>
      </c>
      <c r="G26" s="103"/>
      <c r="H26" s="103"/>
      <c r="I26" s="103"/>
      <c r="J26" s="106"/>
      <c r="K26" s="103"/>
      <c r="L26" s="129"/>
      <c r="M26" s="102"/>
      <c r="N26" s="103"/>
      <c r="O26" s="103"/>
      <c r="P26" s="26"/>
      <c r="Q26" s="103"/>
    </row>
    <row r="27" spans="1:17" ht="14.1" customHeight="1">
      <c r="A27" s="166"/>
      <c r="B27" s="169" t="s">
        <v>12</v>
      </c>
      <c r="C27" s="169"/>
      <c r="D27" s="28">
        <f>D26+3</f>
        <v>39753</v>
      </c>
      <c r="E27" s="29" t="s">
        <v>49</v>
      </c>
      <c r="F27" s="30">
        <f>D27+2</f>
        <v>39755</v>
      </c>
      <c r="G27" s="105"/>
      <c r="H27" s="121"/>
      <c r="I27" s="105"/>
      <c r="J27" s="106"/>
      <c r="K27" s="105"/>
      <c r="L27" s="108"/>
      <c r="M27" s="107"/>
      <c r="N27" s="105"/>
      <c r="O27" s="105"/>
      <c r="P27" s="106"/>
      <c r="Q27" s="105"/>
    </row>
    <row r="28" spans="1:17" ht="14.1" customHeight="1">
      <c r="A28" s="166"/>
      <c r="B28" s="172"/>
      <c r="C28" s="172"/>
      <c r="D28" s="31">
        <f>D26</f>
        <v>39750</v>
      </c>
      <c r="E28" s="32" t="s">
        <v>49</v>
      </c>
      <c r="F28" s="33">
        <f>F27</f>
        <v>39755</v>
      </c>
      <c r="G28" s="34"/>
      <c r="H28" s="130"/>
      <c r="I28" s="34"/>
      <c r="J28" s="110"/>
      <c r="K28" s="34"/>
      <c r="L28" s="41"/>
      <c r="M28" s="114"/>
      <c r="N28" s="34"/>
      <c r="O28" s="34"/>
      <c r="P28" s="110"/>
      <c r="Q28" s="34"/>
    </row>
    <row r="29" spans="1:17" ht="14.1" customHeight="1">
      <c r="A29" s="165" t="s">
        <v>54</v>
      </c>
      <c r="B29" s="168"/>
      <c r="C29" s="168"/>
      <c r="D29" s="46"/>
      <c r="E29" s="47"/>
      <c r="F29" s="48"/>
      <c r="G29" s="25"/>
      <c r="H29" s="25"/>
      <c r="I29" s="25"/>
      <c r="J29" s="26"/>
      <c r="K29" s="25"/>
      <c r="L29" s="27"/>
      <c r="M29" s="45"/>
      <c r="N29" s="25"/>
      <c r="O29" s="25"/>
      <c r="P29" s="37"/>
      <c r="Q29" s="25"/>
    </row>
    <row r="30" spans="1:17" ht="14.1" customHeight="1">
      <c r="A30" s="167"/>
      <c r="B30" s="170"/>
      <c r="C30" s="170"/>
      <c r="D30" s="49"/>
      <c r="E30" s="50"/>
      <c r="F30" s="51"/>
      <c r="G30" s="34"/>
      <c r="H30" s="34"/>
      <c r="I30" s="34"/>
      <c r="J30" s="52"/>
      <c r="K30" s="35"/>
      <c r="L30" s="41"/>
      <c r="M30" s="36"/>
      <c r="N30" s="35"/>
      <c r="O30" s="35"/>
      <c r="P30" s="37"/>
      <c r="Q30" s="35"/>
    </row>
    <row r="31" spans="1:17" ht="14.1" customHeight="1">
      <c r="A31" s="177" t="s">
        <v>13</v>
      </c>
      <c r="B31" s="178"/>
      <c r="C31" s="178"/>
      <c r="D31" s="53"/>
      <c r="E31" s="54"/>
      <c r="F31" s="55"/>
      <c r="G31" s="56"/>
      <c r="H31" s="56"/>
      <c r="I31" s="56"/>
      <c r="J31" s="57"/>
      <c r="K31" s="58"/>
      <c r="L31" s="59"/>
      <c r="M31" s="60"/>
      <c r="N31" s="58"/>
      <c r="O31" s="58"/>
      <c r="P31" s="57"/>
      <c r="Q31" s="58"/>
    </row>
    <row r="32" spans="1:17" ht="14.1" customHeight="1">
      <c r="A32" s="179" t="s">
        <v>55</v>
      </c>
      <c r="B32" s="180"/>
      <c r="C32" s="180"/>
      <c r="D32" s="61"/>
      <c r="E32" s="100"/>
      <c r="F32" s="55"/>
      <c r="G32" s="58"/>
      <c r="H32" s="58"/>
      <c r="I32" s="58"/>
      <c r="J32" s="57"/>
      <c r="K32" s="58"/>
      <c r="L32" s="62"/>
      <c r="M32" s="60"/>
      <c r="N32" s="58"/>
      <c r="O32" s="58"/>
      <c r="P32" s="57"/>
      <c r="Q32" s="58"/>
    </row>
    <row r="33" spans="1:15">
      <c r="A33" s="1" t="s">
        <v>15</v>
      </c>
    </row>
    <row r="34" spans="1:15">
      <c r="A34" s="1" t="s">
        <v>16</v>
      </c>
    </row>
    <row r="35" spans="1:15">
      <c r="A35" s="8" t="s">
        <v>17</v>
      </c>
      <c r="L35" s="9"/>
    </row>
    <row r="36" spans="1:15">
      <c r="A36" s="8" t="s">
        <v>18</v>
      </c>
      <c r="L36" s="9"/>
    </row>
    <row r="37" spans="1:15">
      <c r="A37" s="8" t="s">
        <v>19</v>
      </c>
    </row>
    <row r="38" spans="1:15">
      <c r="A38" s="8" t="s">
        <v>20</v>
      </c>
    </row>
    <row r="39" spans="1:15">
      <c r="A39" s="8" t="s">
        <v>21</v>
      </c>
    </row>
    <row r="40" spans="1:15" ht="13.5" customHeight="1">
      <c r="A40" s="1" t="s">
        <v>22</v>
      </c>
    </row>
    <row r="41" spans="1:15">
      <c r="A41" s="1" t="s">
        <v>23</v>
      </c>
    </row>
    <row r="44" spans="1:15">
      <c r="N44" s="10"/>
      <c r="O44" s="11"/>
    </row>
    <row r="45" spans="1:15">
      <c r="O45" s="11"/>
    </row>
    <row r="46" spans="1:15">
      <c r="O46" s="11"/>
    </row>
    <row r="47" spans="1:15">
      <c r="O47" s="98"/>
    </row>
  </sheetData>
  <mergeCells count="51">
    <mergeCell ref="A29:A30"/>
    <mergeCell ref="B29:C29"/>
    <mergeCell ref="B30:C30"/>
    <mergeCell ref="A31:C31"/>
    <mergeCell ref="A32:C32"/>
    <mergeCell ref="A23:A25"/>
    <mergeCell ref="B23:C23"/>
    <mergeCell ref="B24:C24"/>
    <mergeCell ref="B25:C25"/>
    <mergeCell ref="A26:A28"/>
    <mergeCell ref="B26:C26"/>
    <mergeCell ref="B27:C27"/>
    <mergeCell ref="B28:C28"/>
    <mergeCell ref="B14:C14"/>
    <mergeCell ref="B15:C15"/>
    <mergeCell ref="R15:S15"/>
    <mergeCell ref="B16:C16"/>
    <mergeCell ref="A20:A22"/>
    <mergeCell ref="B20:C20"/>
    <mergeCell ref="B21:C21"/>
    <mergeCell ref="B22:C22"/>
    <mergeCell ref="A1:L2"/>
    <mergeCell ref="A17:A19"/>
    <mergeCell ref="B17:C17"/>
    <mergeCell ref="B18:C18"/>
    <mergeCell ref="B19:C19"/>
    <mergeCell ref="A8:A10"/>
    <mergeCell ref="B8:C8"/>
    <mergeCell ref="B9:C9"/>
    <mergeCell ref="B10:C10"/>
    <mergeCell ref="A11:A13"/>
    <mergeCell ref="B11:C11"/>
    <mergeCell ref="B12:C12"/>
    <mergeCell ref="B13:C13"/>
    <mergeCell ref="K6:K7"/>
    <mergeCell ref="L6:L7"/>
    <mergeCell ref="A14:A16"/>
    <mergeCell ref="N6:N7"/>
    <mergeCell ref="O6:O7"/>
    <mergeCell ref="P6:P7"/>
    <mergeCell ref="A3:Q3"/>
    <mergeCell ref="A5:C7"/>
    <mergeCell ref="D5:F7"/>
    <mergeCell ref="G5:L5"/>
    <mergeCell ref="M5:Q5"/>
    <mergeCell ref="G6:G7"/>
    <mergeCell ref="H6:H7"/>
    <mergeCell ref="I6:I7"/>
    <mergeCell ref="J6:J7"/>
    <mergeCell ref="Q6:Q7"/>
    <mergeCell ref="M6:M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&amp;R대외비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487E-886F-4AAC-B8F4-D6237DFE2131}">
  <sheetPr>
    <pageSetUpPr fitToPage="1"/>
  </sheetPr>
  <dimension ref="A1:IU34"/>
  <sheetViews>
    <sheetView showGridLines="0" view="pageLayout" zoomScaleNormal="100" workbookViewId="0">
      <selection activeCell="M14" sqref="M14"/>
    </sheetView>
  </sheetViews>
  <sheetFormatPr defaultRowHeight="16.5"/>
  <cols>
    <col min="1" max="1" width="7.625" style="13" customWidth="1"/>
    <col min="2" max="3" width="4.25" style="13" customWidth="1"/>
    <col min="4" max="4" width="5.375" style="13" customWidth="1"/>
    <col min="5" max="5" width="3.125" style="13" customWidth="1"/>
    <col min="6" max="6" width="5.375" style="13" customWidth="1"/>
    <col min="7" max="17" width="10" style="13" customWidth="1"/>
    <col min="18" max="16384" width="9" style="13"/>
  </cols>
  <sheetData>
    <row r="1" spans="1:255" ht="18" customHeight="1">
      <c r="A1" s="163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2" t="s">
        <v>25</v>
      </c>
      <c r="N1" s="12" t="s">
        <v>26</v>
      </c>
      <c r="O1" s="12" t="s">
        <v>27</v>
      </c>
      <c r="P1" s="12" t="s">
        <v>28</v>
      </c>
      <c r="Q1" s="12" t="s">
        <v>29</v>
      </c>
    </row>
    <row r="2" spans="1:255" ht="39.950000000000003" customHeight="1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2"/>
      <c r="N2" s="12"/>
      <c r="O2" s="12"/>
      <c r="P2" s="12"/>
      <c r="Q2" s="12"/>
    </row>
    <row r="3" spans="1:255" ht="8.1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</row>
    <row r="4" spans="1:255" s="18" customFormat="1" ht="18" customHeight="1">
      <c r="A4" s="138" t="s">
        <v>30</v>
      </c>
      <c r="B4" s="182" t="s">
        <v>48</v>
      </c>
      <c r="C4" s="182"/>
      <c r="D4" s="14"/>
      <c r="E4" s="183" t="s">
        <v>31</v>
      </c>
      <c r="F4" s="183"/>
      <c r="G4" s="184" t="s">
        <v>32</v>
      </c>
      <c r="H4" s="184"/>
      <c r="I4" s="185" t="s">
        <v>33</v>
      </c>
      <c r="J4" s="185"/>
      <c r="K4" s="185"/>
      <c r="L4" s="16" t="s">
        <v>59</v>
      </c>
      <c r="M4" s="16"/>
      <c r="N4" s="17"/>
      <c r="O4" s="139" t="s">
        <v>34</v>
      </c>
      <c r="P4" s="16" t="s">
        <v>63</v>
      </c>
      <c r="Q4" s="15"/>
    </row>
    <row r="5" spans="1:255" s="17" customFormat="1" ht="12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</row>
    <row r="6" spans="1:255" s="21" customFormat="1" ht="12" customHeight="1">
      <c r="A6" s="146" t="s">
        <v>35</v>
      </c>
      <c r="B6" s="147"/>
      <c r="C6" s="147"/>
      <c r="D6" s="152" t="s">
        <v>1</v>
      </c>
      <c r="E6" s="152"/>
      <c r="F6" s="153"/>
      <c r="G6" s="156" t="s">
        <v>2</v>
      </c>
      <c r="H6" s="156"/>
      <c r="I6" s="156"/>
      <c r="J6" s="156"/>
      <c r="K6" s="157"/>
      <c r="L6" s="158"/>
      <c r="M6" s="159" t="s">
        <v>3</v>
      </c>
      <c r="N6" s="159"/>
      <c r="O6" s="159"/>
      <c r="P6" s="159"/>
      <c r="Q6" s="159"/>
      <c r="R6" s="20"/>
    </row>
    <row r="7" spans="1:255" s="21" customFormat="1" ht="12" customHeight="1">
      <c r="A7" s="148"/>
      <c r="B7" s="149"/>
      <c r="C7" s="149"/>
      <c r="D7" s="154"/>
      <c r="E7" s="154"/>
      <c r="F7" s="155"/>
      <c r="G7" s="141" t="s">
        <v>4</v>
      </c>
      <c r="H7" s="141" t="s">
        <v>5</v>
      </c>
      <c r="I7" s="141" t="s">
        <v>6</v>
      </c>
      <c r="J7" s="143" t="s">
        <v>7</v>
      </c>
      <c r="K7" s="141" t="s">
        <v>8</v>
      </c>
      <c r="L7" s="173" t="s">
        <v>9</v>
      </c>
      <c r="M7" s="161" t="s">
        <v>4</v>
      </c>
      <c r="N7" s="141" t="s">
        <v>5</v>
      </c>
      <c r="O7" s="141" t="s">
        <v>6</v>
      </c>
      <c r="P7" s="143" t="s">
        <v>7</v>
      </c>
      <c r="Q7" s="141" t="s">
        <v>8</v>
      </c>
    </row>
    <row r="8" spans="1:255" s="21" customFormat="1" ht="12" customHeight="1">
      <c r="A8" s="150"/>
      <c r="B8" s="151"/>
      <c r="C8" s="151"/>
      <c r="D8" s="154"/>
      <c r="E8" s="154"/>
      <c r="F8" s="155"/>
      <c r="G8" s="160"/>
      <c r="H8" s="160"/>
      <c r="I8" s="160"/>
      <c r="J8" s="144"/>
      <c r="K8" s="142"/>
      <c r="L8" s="174"/>
      <c r="M8" s="162"/>
      <c r="N8" s="142"/>
      <c r="O8" s="142"/>
      <c r="P8" s="144"/>
      <c r="Q8" s="142"/>
    </row>
    <row r="9" spans="1:255" ht="14.25" customHeight="1">
      <c r="A9" s="166" t="s">
        <v>36</v>
      </c>
      <c r="B9" s="171" t="s">
        <v>10</v>
      </c>
      <c r="C9" s="171"/>
      <c r="D9" s="22">
        <f>D12+7</f>
        <v>46392</v>
      </c>
      <c r="E9" s="23" t="s">
        <v>11</v>
      </c>
      <c r="F9" s="24">
        <f>D9+2</f>
        <v>46394</v>
      </c>
      <c r="G9" s="63">
        <v>608</v>
      </c>
      <c r="H9" s="64"/>
      <c r="I9" s="63"/>
      <c r="J9" s="65">
        <f>G9-(I9+K9)</f>
        <v>608</v>
      </c>
      <c r="K9" s="66"/>
      <c r="L9" s="67"/>
      <c r="M9" s="66">
        <v>544</v>
      </c>
      <c r="N9" s="63"/>
      <c r="O9" s="68"/>
      <c r="P9" s="65">
        <f>M9-(O9+Q9)</f>
        <v>544</v>
      </c>
      <c r="Q9" s="66"/>
    </row>
    <row r="10" spans="1:255" ht="14.25" customHeight="1">
      <c r="A10" s="166"/>
      <c r="B10" s="169" t="s">
        <v>12</v>
      </c>
      <c r="C10" s="169"/>
      <c r="D10" s="28">
        <f>D9+3</f>
        <v>46395</v>
      </c>
      <c r="E10" s="29" t="s">
        <v>11</v>
      </c>
      <c r="F10" s="30">
        <f>D10+2</f>
        <v>46397</v>
      </c>
      <c r="G10" s="69"/>
      <c r="H10" s="70"/>
      <c r="I10" s="69"/>
      <c r="J10" s="65">
        <f>G10-(I10+K10)</f>
        <v>0</v>
      </c>
      <c r="K10" s="71"/>
      <c r="L10" s="72"/>
      <c r="M10" s="71"/>
      <c r="N10" s="69"/>
      <c r="O10" s="73"/>
      <c r="P10" s="65">
        <f>M10-(O10+Q10)</f>
        <v>0</v>
      </c>
      <c r="Q10" s="71"/>
    </row>
    <row r="11" spans="1:255" ht="14.25" customHeight="1">
      <c r="A11" s="166"/>
      <c r="B11" s="172"/>
      <c r="C11" s="172"/>
      <c r="D11" s="31">
        <f>D9</f>
        <v>46392</v>
      </c>
      <c r="E11" s="32" t="s">
        <v>11</v>
      </c>
      <c r="F11" s="33">
        <f>F10</f>
        <v>46397</v>
      </c>
      <c r="G11" s="74">
        <f>G9+G10</f>
        <v>608</v>
      </c>
      <c r="H11" s="75"/>
      <c r="I11" s="74">
        <f>I9+I10</f>
        <v>0</v>
      </c>
      <c r="J11" s="76">
        <f>J9+J10</f>
        <v>608</v>
      </c>
      <c r="K11" s="77">
        <f>K9+K10</f>
        <v>0</v>
      </c>
      <c r="L11" s="78"/>
      <c r="M11" s="74">
        <f>M9+M10</f>
        <v>544</v>
      </c>
      <c r="N11" s="77"/>
      <c r="O11" s="74">
        <f>O9+O10</f>
        <v>0</v>
      </c>
      <c r="P11" s="76">
        <f>P9+P10</f>
        <v>544</v>
      </c>
      <c r="Q11" s="77">
        <f>Q9+Q10</f>
        <v>0</v>
      </c>
    </row>
    <row r="12" spans="1:255" ht="14.25" customHeight="1">
      <c r="A12" s="165" t="s">
        <v>57</v>
      </c>
      <c r="B12" s="168" t="s">
        <v>10</v>
      </c>
      <c r="C12" s="168"/>
      <c r="D12" s="22">
        <f>D15+7</f>
        <v>46385</v>
      </c>
      <c r="E12" s="23" t="s">
        <v>11</v>
      </c>
      <c r="F12" s="24">
        <f>D12+2</f>
        <v>46387</v>
      </c>
      <c r="G12" s="63">
        <v>1180</v>
      </c>
      <c r="H12" s="64"/>
      <c r="I12" s="63"/>
      <c r="J12" s="79">
        <f>G12-(I12+K12)</f>
        <v>1180</v>
      </c>
      <c r="K12" s="63"/>
      <c r="L12" s="132"/>
      <c r="M12" s="66">
        <v>746</v>
      </c>
      <c r="N12" s="63"/>
      <c r="O12" s="63"/>
      <c r="P12" s="79">
        <f>M12-(O12+Q12)</f>
        <v>746</v>
      </c>
      <c r="Q12" s="63"/>
      <c r="R12" s="135"/>
    </row>
    <row r="13" spans="1:255" ht="14.25" customHeight="1">
      <c r="A13" s="166"/>
      <c r="B13" s="169" t="s">
        <v>12</v>
      </c>
      <c r="C13" s="169"/>
      <c r="D13" s="28">
        <f>D12+3</f>
        <v>46388</v>
      </c>
      <c r="E13" s="29" t="s">
        <v>11</v>
      </c>
      <c r="F13" s="30">
        <f>D13+2</f>
        <v>46390</v>
      </c>
      <c r="G13" s="69">
        <v>448</v>
      </c>
      <c r="H13" s="70"/>
      <c r="I13" s="69"/>
      <c r="J13" s="65">
        <f>G13-(I13+K13)</f>
        <v>448</v>
      </c>
      <c r="K13" s="69"/>
      <c r="L13" s="67"/>
      <c r="M13" s="71">
        <v>512</v>
      </c>
      <c r="N13" s="69"/>
      <c r="O13" s="69"/>
      <c r="P13" s="65">
        <f>M13-(O13+Q13)</f>
        <v>512</v>
      </c>
      <c r="Q13" s="69"/>
      <c r="R13" s="134"/>
    </row>
    <row r="14" spans="1:255" ht="14.25" customHeight="1">
      <c r="A14" s="167"/>
      <c r="B14" s="170"/>
      <c r="C14" s="170"/>
      <c r="D14" s="38">
        <f>D12</f>
        <v>46385</v>
      </c>
      <c r="E14" s="39" t="s">
        <v>11</v>
      </c>
      <c r="F14" s="40">
        <f>F13</f>
        <v>46390</v>
      </c>
      <c r="G14" s="74">
        <v>1628</v>
      </c>
      <c r="H14" s="75"/>
      <c r="I14" s="74">
        <f>I12+I13</f>
        <v>0</v>
      </c>
      <c r="J14" s="76">
        <f>J12+J13</f>
        <v>1628</v>
      </c>
      <c r="K14" s="74">
        <f>K12+K13</f>
        <v>0</v>
      </c>
      <c r="L14" s="81"/>
      <c r="M14" s="74">
        <v>1258</v>
      </c>
      <c r="N14" s="74"/>
      <c r="O14" s="74">
        <f>O12+O13</f>
        <v>0</v>
      </c>
      <c r="P14" s="76">
        <f>P12+P13</f>
        <v>1258</v>
      </c>
      <c r="Q14" s="74">
        <f>Q12+Q13</f>
        <v>0</v>
      </c>
    </row>
    <row r="15" spans="1:255" ht="14.25" customHeight="1">
      <c r="A15" s="166" t="s">
        <v>58</v>
      </c>
      <c r="B15" s="171" t="s">
        <v>10</v>
      </c>
      <c r="C15" s="171"/>
      <c r="D15" s="42">
        <f>D18+7</f>
        <v>46378</v>
      </c>
      <c r="E15" s="43" t="s">
        <v>11</v>
      </c>
      <c r="F15" s="44">
        <f>D15+2</f>
        <v>46380</v>
      </c>
      <c r="G15" s="82">
        <v>971</v>
      </c>
      <c r="H15" s="83"/>
      <c r="I15" s="63">
        <v>47</v>
      </c>
      <c r="J15" s="79">
        <f>G15-(I15+K15)</f>
        <v>872</v>
      </c>
      <c r="K15" s="84">
        <v>52</v>
      </c>
      <c r="L15" s="132" t="s">
        <v>71</v>
      </c>
      <c r="M15" s="85">
        <v>478</v>
      </c>
      <c r="N15" s="84"/>
      <c r="O15" s="84">
        <v>75</v>
      </c>
      <c r="P15" s="79">
        <f>M15-(O15+Q15)</f>
        <v>385</v>
      </c>
      <c r="Q15" s="84">
        <v>18</v>
      </c>
      <c r="R15" s="131"/>
    </row>
    <row r="16" spans="1:255" ht="14.25" customHeight="1">
      <c r="A16" s="166"/>
      <c r="B16" s="169" t="s">
        <v>12</v>
      </c>
      <c r="C16" s="169"/>
      <c r="D16" s="28">
        <f>D15+3</f>
        <v>46381</v>
      </c>
      <c r="E16" s="29" t="s">
        <v>11</v>
      </c>
      <c r="F16" s="30">
        <f>D16+2</f>
        <v>46383</v>
      </c>
      <c r="G16" s="86">
        <v>432</v>
      </c>
      <c r="H16" s="70"/>
      <c r="I16" s="69"/>
      <c r="J16" s="65">
        <f>G16-(I16+K16)</f>
        <v>432</v>
      </c>
      <c r="K16" s="69"/>
      <c r="L16" s="87"/>
      <c r="M16" s="71">
        <v>480</v>
      </c>
      <c r="N16" s="69"/>
      <c r="O16" s="69"/>
      <c r="P16" s="65">
        <f>M16-(O16+Q16)</f>
        <v>480</v>
      </c>
      <c r="Q16" s="69"/>
      <c r="R16" s="181"/>
      <c r="S16" s="181"/>
    </row>
    <row r="17" spans="1:18" ht="14.25" customHeight="1">
      <c r="A17" s="166"/>
      <c r="B17" s="172"/>
      <c r="C17" s="172"/>
      <c r="D17" s="31">
        <f>D15</f>
        <v>46378</v>
      </c>
      <c r="E17" s="32" t="s">
        <v>11</v>
      </c>
      <c r="F17" s="33">
        <f>F16</f>
        <v>46383</v>
      </c>
      <c r="G17" s="88">
        <v>1403</v>
      </c>
      <c r="H17" s="75"/>
      <c r="I17" s="74">
        <f>I15+I16</f>
        <v>47</v>
      </c>
      <c r="J17" s="76">
        <f>J15+J16</f>
        <v>1304</v>
      </c>
      <c r="K17" s="74">
        <f>K15+K16</f>
        <v>52</v>
      </c>
      <c r="L17" s="81"/>
      <c r="M17" s="74">
        <v>958</v>
      </c>
      <c r="N17" s="77"/>
      <c r="O17" s="74">
        <f>O15+O16</f>
        <v>75</v>
      </c>
      <c r="P17" s="76">
        <f>P15+P16</f>
        <v>865</v>
      </c>
      <c r="Q17" s="77">
        <f>Q15+Q16</f>
        <v>18</v>
      </c>
    </row>
    <row r="18" spans="1:18" ht="14.25" customHeight="1">
      <c r="A18" s="165" t="s">
        <v>38</v>
      </c>
      <c r="B18" s="168" t="s">
        <v>10</v>
      </c>
      <c r="C18" s="168"/>
      <c r="D18" s="22">
        <f>D21+7</f>
        <v>46371</v>
      </c>
      <c r="E18" s="23" t="s">
        <v>11</v>
      </c>
      <c r="F18" s="24">
        <f>D18+2</f>
        <v>46373</v>
      </c>
      <c r="G18" s="86">
        <v>220</v>
      </c>
      <c r="H18" s="64"/>
      <c r="I18" s="63">
        <v>168</v>
      </c>
      <c r="J18" s="79">
        <f>G18-(I18+K18)</f>
        <v>0</v>
      </c>
      <c r="K18" s="63">
        <v>52</v>
      </c>
      <c r="L18" s="136" t="s">
        <v>69</v>
      </c>
      <c r="M18" s="66">
        <v>0</v>
      </c>
      <c r="N18" s="63"/>
      <c r="O18" s="63"/>
      <c r="P18" s="79">
        <f>M18-(O18+Q18)</f>
        <v>0</v>
      </c>
      <c r="Q18" s="63"/>
      <c r="R18" s="131"/>
    </row>
    <row r="19" spans="1:18" ht="14.25" customHeight="1">
      <c r="A19" s="166"/>
      <c r="B19" s="169" t="s">
        <v>12</v>
      </c>
      <c r="C19" s="169"/>
      <c r="D19" s="28">
        <f>D18+3</f>
        <v>46374</v>
      </c>
      <c r="E19" s="29" t="s">
        <v>11</v>
      </c>
      <c r="F19" s="30">
        <f>D19+2</f>
        <v>46376</v>
      </c>
      <c r="G19" s="86">
        <v>496</v>
      </c>
      <c r="H19" s="70"/>
      <c r="I19" s="84"/>
      <c r="J19" s="65">
        <f>G19-(I19+K19)</f>
        <v>496</v>
      </c>
      <c r="K19" s="69"/>
      <c r="L19" s="133"/>
      <c r="M19" s="71">
        <v>394</v>
      </c>
      <c r="N19" s="69"/>
      <c r="O19" s="69">
        <v>57</v>
      </c>
      <c r="P19" s="65">
        <f>M19-(O19+Q19)</f>
        <v>320</v>
      </c>
      <c r="Q19" s="69">
        <v>17</v>
      </c>
      <c r="R19" s="131"/>
    </row>
    <row r="20" spans="1:18" ht="14.25" customHeight="1">
      <c r="A20" s="167"/>
      <c r="B20" s="170"/>
      <c r="C20" s="170"/>
      <c r="D20" s="38">
        <f>D18</f>
        <v>46371</v>
      </c>
      <c r="E20" s="39" t="s">
        <v>11</v>
      </c>
      <c r="F20" s="40">
        <f>F19</f>
        <v>46376</v>
      </c>
      <c r="G20" s="88">
        <v>716</v>
      </c>
      <c r="H20" s="75"/>
      <c r="I20" s="77">
        <f>I18+I19</f>
        <v>168</v>
      </c>
      <c r="J20" s="76">
        <f>J18+J19</f>
        <v>496</v>
      </c>
      <c r="K20" s="74">
        <f>K18+K19</f>
        <v>52</v>
      </c>
      <c r="L20" s="81"/>
      <c r="M20" s="74">
        <v>394</v>
      </c>
      <c r="N20" s="74"/>
      <c r="O20" s="74">
        <f>O18+O19</f>
        <v>57</v>
      </c>
      <c r="P20" s="76">
        <f>P18+P19</f>
        <v>320</v>
      </c>
      <c r="Q20" s="74">
        <f>Q18+Q19</f>
        <v>17</v>
      </c>
    </row>
    <row r="21" spans="1:18" ht="14.25" customHeight="1">
      <c r="A21" s="166" t="s">
        <v>51</v>
      </c>
      <c r="B21" s="171" t="s">
        <v>10</v>
      </c>
      <c r="C21" s="171"/>
      <c r="D21" s="42">
        <f>D24+7</f>
        <v>46364</v>
      </c>
      <c r="E21" s="43" t="s">
        <v>11</v>
      </c>
      <c r="F21" s="44">
        <f>D21+2</f>
        <v>46366</v>
      </c>
      <c r="G21" s="82">
        <v>124</v>
      </c>
      <c r="H21" s="89" t="s">
        <v>39</v>
      </c>
      <c r="I21" s="63">
        <v>110</v>
      </c>
      <c r="J21" s="79">
        <f>G21-(I21+K21)</f>
        <v>0</v>
      </c>
      <c r="K21" s="63">
        <v>14</v>
      </c>
      <c r="L21" s="132" t="s">
        <v>70</v>
      </c>
      <c r="M21" s="68">
        <v>0</v>
      </c>
      <c r="N21" s="63"/>
      <c r="O21" s="63"/>
      <c r="P21" s="79">
        <f>M21-(O21+Q21)</f>
        <v>0</v>
      </c>
      <c r="Q21" s="63"/>
      <c r="R21" s="131"/>
    </row>
    <row r="22" spans="1:18" ht="14.25" customHeight="1">
      <c r="A22" s="166"/>
      <c r="B22" s="169" t="s">
        <v>12</v>
      </c>
      <c r="C22" s="169"/>
      <c r="D22" s="28">
        <f>D21+3</f>
        <v>46367</v>
      </c>
      <c r="E22" s="29" t="s">
        <v>11</v>
      </c>
      <c r="F22" s="30">
        <f>D22+2</f>
        <v>46369</v>
      </c>
      <c r="G22" s="86">
        <v>240</v>
      </c>
      <c r="H22" s="90" t="s">
        <v>40</v>
      </c>
      <c r="I22" s="69"/>
      <c r="J22" s="65">
        <f>G22-(I22+K22)</f>
        <v>240</v>
      </c>
      <c r="K22" s="69"/>
      <c r="L22" s="87"/>
      <c r="M22" s="71">
        <v>206</v>
      </c>
      <c r="N22" s="69"/>
      <c r="O22" s="69"/>
      <c r="P22" s="65">
        <f>M22-(O22+Q22)</f>
        <v>206</v>
      </c>
      <c r="Q22" s="69"/>
      <c r="R22" s="131"/>
    </row>
    <row r="23" spans="1:18" ht="14.25" customHeight="1">
      <c r="A23" s="166"/>
      <c r="B23" s="172"/>
      <c r="C23" s="172"/>
      <c r="D23" s="31">
        <f>D21</f>
        <v>46364</v>
      </c>
      <c r="E23" s="32" t="s">
        <v>11</v>
      </c>
      <c r="F23" s="33">
        <f>F22</f>
        <v>46369</v>
      </c>
      <c r="G23" s="88">
        <v>364</v>
      </c>
      <c r="H23" s="90" t="s">
        <v>41</v>
      </c>
      <c r="I23" s="77">
        <f>I21+I22</f>
        <v>110</v>
      </c>
      <c r="J23" s="76">
        <f>J21+J22</f>
        <v>240</v>
      </c>
      <c r="K23" s="74">
        <f>K21+K22</f>
        <v>14</v>
      </c>
      <c r="L23" s="81"/>
      <c r="M23" s="74">
        <v>206</v>
      </c>
      <c r="N23" s="74"/>
      <c r="O23" s="74">
        <f>O21+O22</f>
        <v>0</v>
      </c>
      <c r="P23" s="76">
        <f>P21+P22</f>
        <v>206</v>
      </c>
      <c r="Q23" s="74">
        <f>Q21+Q22</f>
        <v>0</v>
      </c>
    </row>
    <row r="24" spans="1:18" ht="14.25" customHeight="1">
      <c r="A24" s="165" t="s">
        <v>42</v>
      </c>
      <c r="B24" s="168" t="s">
        <v>10</v>
      </c>
      <c r="C24" s="168"/>
      <c r="D24" s="22">
        <f>D27+7</f>
        <v>46357</v>
      </c>
      <c r="E24" s="23" t="s">
        <v>11</v>
      </c>
      <c r="F24" s="24">
        <f>D24+2</f>
        <v>46359</v>
      </c>
      <c r="G24" s="91">
        <v>120</v>
      </c>
      <c r="H24" s="89" t="s">
        <v>43</v>
      </c>
      <c r="I24" s="63">
        <v>100</v>
      </c>
      <c r="J24" s="79">
        <f>G24-(I24+K24)</f>
        <v>10</v>
      </c>
      <c r="K24" s="84">
        <v>10</v>
      </c>
      <c r="L24" s="132" t="s">
        <v>76</v>
      </c>
      <c r="M24" s="85">
        <v>0</v>
      </c>
      <c r="N24" s="84"/>
      <c r="O24" s="84"/>
      <c r="P24" s="79">
        <f>M24-(O24+Q24)</f>
        <v>0</v>
      </c>
      <c r="Q24" s="84"/>
    </row>
    <row r="25" spans="1:18" ht="14.25" customHeight="1">
      <c r="A25" s="166"/>
      <c r="B25" s="169" t="s">
        <v>12</v>
      </c>
      <c r="C25" s="169"/>
      <c r="D25" s="28">
        <f>D24+3</f>
        <v>46360</v>
      </c>
      <c r="E25" s="29" t="s">
        <v>11</v>
      </c>
      <c r="F25" s="30">
        <f>D25+2</f>
        <v>46362</v>
      </c>
      <c r="G25" s="92">
        <v>220</v>
      </c>
      <c r="H25" s="90" t="s">
        <v>44</v>
      </c>
      <c r="I25" s="69">
        <v>30</v>
      </c>
      <c r="J25" s="65">
        <f>G25-(I25+K25)</f>
        <v>190</v>
      </c>
      <c r="K25" s="84"/>
      <c r="L25" s="87"/>
      <c r="M25" s="71">
        <v>300</v>
      </c>
      <c r="N25" s="69"/>
      <c r="O25" s="69">
        <v>27</v>
      </c>
      <c r="P25" s="65">
        <f>M25-(O25+Q25)</f>
        <v>268</v>
      </c>
      <c r="Q25" s="69">
        <v>5</v>
      </c>
      <c r="R25" s="131"/>
    </row>
    <row r="26" spans="1:18" ht="14.25" customHeight="1">
      <c r="A26" s="167"/>
      <c r="B26" s="170"/>
      <c r="C26" s="170"/>
      <c r="D26" s="38">
        <f>D24</f>
        <v>46357</v>
      </c>
      <c r="E26" s="39" t="s">
        <v>11</v>
      </c>
      <c r="F26" s="40">
        <f>F25</f>
        <v>46362</v>
      </c>
      <c r="G26" s="88">
        <v>340</v>
      </c>
      <c r="H26" s="90" t="s">
        <v>45</v>
      </c>
      <c r="I26" s="77">
        <f>I24+I25</f>
        <v>130</v>
      </c>
      <c r="J26" s="76">
        <f>J24+J25</f>
        <v>200</v>
      </c>
      <c r="K26" s="77">
        <f>K24+K25</f>
        <v>10</v>
      </c>
      <c r="L26" s="93"/>
      <c r="M26" s="74">
        <v>300</v>
      </c>
      <c r="N26" s="69"/>
      <c r="O26" s="74">
        <f>O24+O25</f>
        <v>27</v>
      </c>
      <c r="P26" s="76">
        <f>P24+P25</f>
        <v>268</v>
      </c>
      <c r="Q26" s="74">
        <f>Q24+Q25</f>
        <v>5</v>
      </c>
    </row>
    <row r="27" spans="1:18" ht="14.25" customHeight="1">
      <c r="A27" s="166" t="s">
        <v>46</v>
      </c>
      <c r="B27" s="171" t="s">
        <v>10</v>
      </c>
      <c r="C27" s="171"/>
      <c r="D27" s="42">
        <v>46350</v>
      </c>
      <c r="E27" s="43" t="s">
        <v>11</v>
      </c>
      <c r="F27" s="44">
        <f>D27+2</f>
        <v>46352</v>
      </c>
      <c r="G27" s="82">
        <v>0</v>
      </c>
      <c r="H27" s="89"/>
      <c r="I27" s="63"/>
      <c r="J27" s="79">
        <f>G27-(I27+K27)</f>
        <v>0</v>
      </c>
      <c r="K27" s="63"/>
      <c r="L27" s="80"/>
      <c r="M27" s="85">
        <v>0</v>
      </c>
      <c r="N27" s="63"/>
      <c r="O27" s="63"/>
      <c r="P27" s="65">
        <f>M27-(O27+Q27)</f>
        <v>0</v>
      </c>
      <c r="Q27" s="63"/>
    </row>
    <row r="28" spans="1:18" ht="14.25" customHeight="1">
      <c r="A28" s="166"/>
      <c r="B28" s="169" t="s">
        <v>12</v>
      </c>
      <c r="C28" s="169"/>
      <c r="D28" s="28">
        <f>D27+3</f>
        <v>46353</v>
      </c>
      <c r="E28" s="29" t="s">
        <v>11</v>
      </c>
      <c r="F28" s="30">
        <f>D28+2</f>
        <v>46355</v>
      </c>
      <c r="G28" s="94">
        <v>0</v>
      </c>
      <c r="H28" s="90"/>
      <c r="I28" s="69"/>
      <c r="J28" s="65">
        <f>G28-(I28+K28)</f>
        <v>0</v>
      </c>
      <c r="K28" s="69"/>
      <c r="L28" s="87"/>
      <c r="M28" s="71">
        <v>120</v>
      </c>
      <c r="N28" s="69"/>
      <c r="O28" s="69"/>
      <c r="P28" s="65">
        <f>M28-(O28+Q28)</f>
        <v>120</v>
      </c>
      <c r="Q28" s="69"/>
      <c r="R28" s="21"/>
    </row>
    <row r="29" spans="1:18" ht="14.25" customHeight="1">
      <c r="A29" s="166"/>
      <c r="B29" s="172"/>
      <c r="C29" s="172"/>
      <c r="D29" s="31">
        <f>D27</f>
        <v>46350</v>
      </c>
      <c r="E29" s="32" t="s">
        <v>11</v>
      </c>
      <c r="F29" s="33">
        <f>F28</f>
        <v>46355</v>
      </c>
      <c r="G29" s="74">
        <v>0</v>
      </c>
      <c r="H29" s="95"/>
      <c r="I29" s="74">
        <f>I27+I28</f>
        <v>0</v>
      </c>
      <c r="J29" s="76">
        <f>J27+J28</f>
        <v>0</v>
      </c>
      <c r="K29" s="74">
        <f>K27+K28</f>
        <v>0</v>
      </c>
      <c r="L29" s="96"/>
      <c r="M29" s="74">
        <v>120</v>
      </c>
      <c r="N29" s="74"/>
      <c r="O29" s="74">
        <f>O27+O28</f>
        <v>0</v>
      </c>
      <c r="P29" s="76">
        <f>P27+P28</f>
        <v>120</v>
      </c>
      <c r="Q29" s="74">
        <f>Q27+Q28</f>
        <v>0</v>
      </c>
    </row>
    <row r="30" spans="1:18" ht="14.25" customHeight="1">
      <c r="A30" s="165" t="s">
        <v>47</v>
      </c>
      <c r="B30" s="168"/>
      <c r="C30" s="168"/>
      <c r="D30" s="46"/>
      <c r="E30" s="47"/>
      <c r="F30" s="48"/>
      <c r="G30" s="25">
        <v>0</v>
      </c>
      <c r="H30" s="25"/>
      <c r="I30" s="25"/>
      <c r="J30" s="26"/>
      <c r="K30" s="25"/>
      <c r="L30" s="27"/>
      <c r="M30" s="45">
        <v>0</v>
      </c>
      <c r="N30" s="25"/>
      <c r="O30" s="25"/>
      <c r="P30" s="37"/>
      <c r="Q30" s="25"/>
    </row>
    <row r="31" spans="1:18" ht="14.25" customHeight="1">
      <c r="A31" s="167"/>
      <c r="B31" s="170"/>
      <c r="C31" s="170"/>
      <c r="D31" s="49"/>
      <c r="E31" s="50"/>
      <c r="F31" s="51"/>
      <c r="G31" s="34">
        <v>0</v>
      </c>
      <c r="H31" s="34"/>
      <c r="I31" s="34"/>
      <c r="J31" s="52"/>
      <c r="K31" s="35"/>
      <c r="L31" s="41"/>
      <c r="M31" s="36">
        <v>0</v>
      </c>
      <c r="N31" s="35"/>
      <c r="O31" s="35"/>
      <c r="P31" s="37"/>
      <c r="Q31" s="35"/>
    </row>
    <row r="32" spans="1:18" ht="18" customHeight="1">
      <c r="A32" s="177" t="s">
        <v>13</v>
      </c>
      <c r="B32" s="178"/>
      <c r="C32" s="178"/>
      <c r="D32" s="53"/>
      <c r="E32" s="54"/>
      <c r="F32" s="55"/>
      <c r="G32" s="56">
        <v>0</v>
      </c>
      <c r="H32" s="56"/>
      <c r="I32" s="56"/>
      <c r="J32" s="57"/>
      <c r="K32" s="58"/>
      <c r="L32" s="59"/>
      <c r="M32" s="60">
        <v>0</v>
      </c>
      <c r="N32" s="58"/>
      <c r="O32" s="58"/>
      <c r="P32" s="57"/>
      <c r="Q32" s="58"/>
    </row>
    <row r="33" spans="1:17" ht="18" customHeight="1">
      <c r="A33" s="179" t="s">
        <v>14</v>
      </c>
      <c r="B33" s="180"/>
      <c r="C33" s="180"/>
      <c r="D33" s="61"/>
      <c r="E33" s="100"/>
      <c r="F33" s="55"/>
      <c r="G33" s="97">
        <f>(G11+G14+G17+G20+G23+G26+G29)</f>
        <v>5059</v>
      </c>
      <c r="H33" s="58"/>
      <c r="I33" s="97">
        <f>(I11+I14+I17+I20+I23+I26+I29)</f>
        <v>455</v>
      </c>
      <c r="J33" s="57">
        <f>(J11+J14+J17+J20+J23+J26+J29)</f>
        <v>4476</v>
      </c>
      <c r="K33" s="97">
        <f>(K11+K14+K17+K20+K23+K26+K29)</f>
        <v>128</v>
      </c>
      <c r="L33" s="62"/>
      <c r="M33" s="97">
        <f>(M11+M14+M17+M20+M23+M26+M29)</f>
        <v>3780</v>
      </c>
      <c r="N33" s="58"/>
      <c r="O33" s="97">
        <f>(O11+O14+O17+O20+O23+O26+O29)</f>
        <v>159</v>
      </c>
      <c r="P33" s="57">
        <f>(P11+P14+P17+P20+P23+P26+P29)</f>
        <v>3581</v>
      </c>
      <c r="Q33" s="97">
        <f>(Q11+Q14+Q17+Q20+Q23+Q26+Q29)</f>
        <v>40</v>
      </c>
    </row>
    <row r="34" spans="1:17">
      <c r="A34" s="13" t="s">
        <v>15</v>
      </c>
    </row>
  </sheetData>
  <mergeCells count="54">
    <mergeCell ref="A1:L2"/>
    <mergeCell ref="B4:C4"/>
    <mergeCell ref="E4:F4"/>
    <mergeCell ref="G4:H4"/>
    <mergeCell ref="I4:K4"/>
    <mergeCell ref="M6:Q6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G6:L6"/>
    <mergeCell ref="P7:P8"/>
    <mergeCell ref="Q7:Q8"/>
    <mergeCell ref="D6:F8"/>
    <mergeCell ref="A12:A14"/>
    <mergeCell ref="B12:C12"/>
    <mergeCell ref="B13:C13"/>
    <mergeCell ref="B14:C14"/>
    <mergeCell ref="A9:A11"/>
    <mergeCell ref="B9:C9"/>
    <mergeCell ref="B10:C10"/>
    <mergeCell ref="B11:C11"/>
    <mergeCell ref="A6:C8"/>
    <mergeCell ref="A15:A17"/>
    <mergeCell ref="B15:C15"/>
    <mergeCell ref="B16:C16"/>
    <mergeCell ref="R16:S16"/>
    <mergeCell ref="B17:C17"/>
    <mergeCell ref="A18:A20"/>
    <mergeCell ref="B18:C18"/>
    <mergeCell ref="B19:C19"/>
    <mergeCell ref="B20:C20"/>
    <mergeCell ref="A21:A23"/>
    <mergeCell ref="B21:C21"/>
    <mergeCell ref="B22:C22"/>
    <mergeCell ref="B23:C23"/>
    <mergeCell ref="A24:A26"/>
    <mergeCell ref="B24:C24"/>
    <mergeCell ref="B25:C25"/>
    <mergeCell ref="B26:C26"/>
    <mergeCell ref="A32:C32"/>
    <mergeCell ref="A33:C33"/>
    <mergeCell ref="A27:A29"/>
    <mergeCell ref="B27:C27"/>
    <mergeCell ref="B28:C28"/>
    <mergeCell ref="B29:C29"/>
    <mergeCell ref="A30:A31"/>
    <mergeCell ref="B30:C30"/>
    <mergeCell ref="B31:C31"/>
  </mergeCells>
  <phoneticPr fontId="2" type="noConversion"/>
  <printOptions horizontalCentered="1" verticalCentered="1"/>
  <pageMargins left="0.15748031496062992" right="0.15748031496062992" top="0.59055118110236227" bottom="0.39370078740157483" header="0.39370078740157483" footer="0.19685039370078741"/>
  <pageSetup paperSize="9" scale="95" orientation="landscape" r:id="rId1"/>
  <headerFooter alignWithMargins="0">
    <oddHeader>&amp;R대외비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04FC-49E4-4E28-AA2A-BAF29780E7D7}">
  <sheetPr>
    <pageSetUpPr fitToPage="1"/>
  </sheetPr>
  <dimension ref="A1:IU34"/>
  <sheetViews>
    <sheetView showGridLines="0" view="pageLayout" zoomScaleNormal="100" workbookViewId="0">
      <selection activeCell="P10" sqref="P10"/>
    </sheetView>
  </sheetViews>
  <sheetFormatPr defaultRowHeight="16.5"/>
  <cols>
    <col min="1" max="1" width="7.625" style="13" customWidth="1"/>
    <col min="2" max="3" width="4.25" style="13" customWidth="1"/>
    <col min="4" max="4" width="5.375" style="13" customWidth="1"/>
    <col min="5" max="5" width="3.125" style="13" customWidth="1"/>
    <col min="6" max="6" width="5.375" style="13" customWidth="1"/>
    <col min="7" max="17" width="10" style="13" customWidth="1"/>
    <col min="18" max="16384" width="9" style="13"/>
  </cols>
  <sheetData>
    <row r="1" spans="1:255" ht="18" customHeight="1">
      <c r="A1" s="163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2" t="s">
        <v>25</v>
      </c>
      <c r="N1" s="12" t="s">
        <v>26</v>
      </c>
      <c r="O1" s="12" t="s">
        <v>27</v>
      </c>
      <c r="P1" s="12" t="s">
        <v>28</v>
      </c>
      <c r="Q1" s="12" t="s">
        <v>29</v>
      </c>
    </row>
    <row r="2" spans="1:255" ht="39.950000000000003" customHeight="1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2"/>
      <c r="N2" s="12"/>
      <c r="O2" s="12"/>
      <c r="P2" s="12"/>
      <c r="Q2" s="12"/>
    </row>
    <row r="3" spans="1:255" ht="8.1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</row>
    <row r="4" spans="1:255" s="18" customFormat="1" ht="18" customHeight="1">
      <c r="A4" s="138" t="s">
        <v>30</v>
      </c>
      <c r="B4" s="182" t="s">
        <v>48</v>
      </c>
      <c r="C4" s="182"/>
      <c r="D4" s="14"/>
      <c r="E4" s="183" t="s">
        <v>31</v>
      </c>
      <c r="F4" s="183"/>
      <c r="G4" s="184" t="s">
        <v>32</v>
      </c>
      <c r="H4" s="184"/>
      <c r="I4" s="185" t="s">
        <v>33</v>
      </c>
      <c r="J4" s="185"/>
      <c r="K4" s="185"/>
      <c r="L4" s="16" t="s">
        <v>59</v>
      </c>
      <c r="M4" s="16"/>
      <c r="N4" s="17"/>
      <c r="O4" s="139" t="s">
        <v>34</v>
      </c>
      <c r="P4" s="16" t="s">
        <v>64</v>
      </c>
      <c r="Q4" s="15"/>
    </row>
    <row r="5" spans="1:255" s="17" customFormat="1" ht="12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</row>
    <row r="6" spans="1:255" s="21" customFormat="1" ht="12" customHeight="1">
      <c r="A6" s="146" t="s">
        <v>35</v>
      </c>
      <c r="B6" s="147"/>
      <c r="C6" s="147"/>
      <c r="D6" s="152" t="s">
        <v>1</v>
      </c>
      <c r="E6" s="152"/>
      <c r="F6" s="153"/>
      <c r="G6" s="156" t="s">
        <v>2</v>
      </c>
      <c r="H6" s="156"/>
      <c r="I6" s="156"/>
      <c r="J6" s="156"/>
      <c r="K6" s="157"/>
      <c r="L6" s="158"/>
      <c r="M6" s="159" t="s">
        <v>3</v>
      </c>
      <c r="N6" s="159"/>
      <c r="O6" s="159"/>
      <c r="P6" s="159"/>
      <c r="Q6" s="159"/>
      <c r="R6" s="20"/>
    </row>
    <row r="7" spans="1:255" s="21" customFormat="1" ht="12" customHeight="1">
      <c r="A7" s="148"/>
      <c r="B7" s="149"/>
      <c r="C7" s="149"/>
      <c r="D7" s="154"/>
      <c r="E7" s="154"/>
      <c r="F7" s="155"/>
      <c r="G7" s="141" t="s">
        <v>4</v>
      </c>
      <c r="H7" s="141" t="s">
        <v>5</v>
      </c>
      <c r="I7" s="141" t="s">
        <v>6</v>
      </c>
      <c r="J7" s="143" t="s">
        <v>7</v>
      </c>
      <c r="K7" s="141" t="s">
        <v>8</v>
      </c>
      <c r="L7" s="173" t="s">
        <v>9</v>
      </c>
      <c r="M7" s="161" t="s">
        <v>4</v>
      </c>
      <c r="N7" s="141" t="s">
        <v>5</v>
      </c>
      <c r="O7" s="141" t="s">
        <v>6</v>
      </c>
      <c r="P7" s="143" t="s">
        <v>7</v>
      </c>
      <c r="Q7" s="141" t="s">
        <v>8</v>
      </c>
    </row>
    <row r="8" spans="1:255" s="21" customFormat="1" ht="12" customHeight="1">
      <c r="A8" s="150"/>
      <c r="B8" s="151"/>
      <c r="C8" s="151"/>
      <c r="D8" s="154"/>
      <c r="E8" s="154"/>
      <c r="F8" s="155"/>
      <c r="G8" s="160"/>
      <c r="H8" s="160"/>
      <c r="I8" s="160"/>
      <c r="J8" s="144"/>
      <c r="K8" s="142"/>
      <c r="L8" s="174"/>
      <c r="M8" s="162"/>
      <c r="N8" s="142"/>
      <c r="O8" s="142"/>
      <c r="P8" s="144"/>
      <c r="Q8" s="142"/>
    </row>
    <row r="9" spans="1:255" ht="14.25" customHeight="1">
      <c r="A9" s="166" t="s">
        <v>36</v>
      </c>
      <c r="B9" s="171" t="s">
        <v>10</v>
      </c>
      <c r="C9" s="171"/>
      <c r="D9" s="22">
        <f>D12+7</f>
        <v>46392</v>
      </c>
      <c r="E9" s="23" t="s">
        <v>11</v>
      </c>
      <c r="F9" s="24">
        <f>D9+2</f>
        <v>46394</v>
      </c>
      <c r="G9" s="63">
        <v>880</v>
      </c>
      <c r="H9" s="64"/>
      <c r="I9" s="63"/>
      <c r="J9" s="65">
        <f>G9-(I9+K9)</f>
        <v>880</v>
      </c>
      <c r="K9" s="66"/>
      <c r="L9" s="67"/>
      <c r="M9" s="66">
        <v>848</v>
      </c>
      <c r="N9" s="63"/>
      <c r="O9" s="68"/>
      <c r="P9" s="65">
        <f>M9-(O9+Q9)</f>
        <v>848</v>
      </c>
      <c r="Q9" s="66"/>
    </row>
    <row r="10" spans="1:255" ht="14.25" customHeight="1">
      <c r="A10" s="166"/>
      <c r="B10" s="169" t="s">
        <v>12</v>
      </c>
      <c r="C10" s="169"/>
      <c r="D10" s="28">
        <f>D9+3</f>
        <v>46395</v>
      </c>
      <c r="E10" s="29" t="s">
        <v>11</v>
      </c>
      <c r="F10" s="30">
        <f>D10+2</f>
        <v>46397</v>
      </c>
      <c r="G10" s="69"/>
      <c r="H10" s="70"/>
      <c r="I10" s="69"/>
      <c r="J10" s="65">
        <f>G10-(I10+K10)</f>
        <v>0</v>
      </c>
      <c r="K10" s="71"/>
      <c r="L10" s="72"/>
      <c r="M10" s="71"/>
      <c r="N10" s="69"/>
      <c r="O10" s="73"/>
      <c r="P10" s="65">
        <f>M10-(O10+Q10)</f>
        <v>0</v>
      </c>
      <c r="Q10" s="71"/>
    </row>
    <row r="11" spans="1:255" ht="14.25" customHeight="1">
      <c r="A11" s="166"/>
      <c r="B11" s="172"/>
      <c r="C11" s="172"/>
      <c r="D11" s="31">
        <f>D9</f>
        <v>46392</v>
      </c>
      <c r="E11" s="32" t="s">
        <v>11</v>
      </c>
      <c r="F11" s="33">
        <f>F10</f>
        <v>46397</v>
      </c>
      <c r="G11" s="74">
        <f>G9+G10</f>
        <v>880</v>
      </c>
      <c r="H11" s="75"/>
      <c r="I11" s="74">
        <f>I9+I10</f>
        <v>0</v>
      </c>
      <c r="J11" s="76">
        <f>J9+J10</f>
        <v>880</v>
      </c>
      <c r="K11" s="77">
        <f>K9+K10</f>
        <v>0</v>
      </c>
      <c r="L11" s="78"/>
      <c r="M11" s="74">
        <f>M9+M10</f>
        <v>848</v>
      </c>
      <c r="N11" s="77"/>
      <c r="O11" s="74">
        <f>O9+O10</f>
        <v>0</v>
      </c>
      <c r="P11" s="76">
        <f>P9+P10</f>
        <v>848</v>
      </c>
      <c r="Q11" s="77">
        <f>Q9+Q10</f>
        <v>0</v>
      </c>
    </row>
    <row r="12" spans="1:255" ht="14.25" customHeight="1">
      <c r="A12" s="165" t="s">
        <v>57</v>
      </c>
      <c r="B12" s="168" t="s">
        <v>10</v>
      </c>
      <c r="C12" s="168"/>
      <c r="D12" s="22">
        <f>D15+7</f>
        <v>46385</v>
      </c>
      <c r="E12" s="23" t="s">
        <v>11</v>
      </c>
      <c r="F12" s="24">
        <f>D12+2</f>
        <v>46387</v>
      </c>
      <c r="G12" s="63">
        <v>1180</v>
      </c>
      <c r="H12" s="64"/>
      <c r="I12" s="63">
        <v>4</v>
      </c>
      <c r="J12" s="79">
        <f>G12-(I12+K12)</f>
        <v>1176</v>
      </c>
      <c r="K12" s="63"/>
      <c r="L12" s="132"/>
      <c r="M12" s="66">
        <v>746</v>
      </c>
      <c r="N12" s="63"/>
      <c r="O12" s="63"/>
      <c r="P12" s="65">
        <f>M12-(O12+Q12)</f>
        <v>746</v>
      </c>
      <c r="Q12" s="63"/>
      <c r="R12" s="135"/>
    </row>
    <row r="13" spans="1:255" ht="14.25" customHeight="1">
      <c r="A13" s="166"/>
      <c r="B13" s="169" t="s">
        <v>12</v>
      </c>
      <c r="C13" s="169"/>
      <c r="D13" s="28">
        <f>D12+3</f>
        <v>46388</v>
      </c>
      <c r="E13" s="29" t="s">
        <v>11</v>
      </c>
      <c r="F13" s="30">
        <f>D13+2</f>
        <v>46390</v>
      </c>
      <c r="G13" s="69">
        <v>448</v>
      </c>
      <c r="H13" s="70"/>
      <c r="I13" s="69"/>
      <c r="J13" s="65">
        <f>G13-(I13+K13)</f>
        <v>448</v>
      </c>
      <c r="K13" s="69"/>
      <c r="L13" s="67"/>
      <c r="M13" s="71">
        <v>512</v>
      </c>
      <c r="N13" s="69"/>
      <c r="O13" s="69"/>
      <c r="P13" s="65">
        <f>M13-(O13+Q13)</f>
        <v>512</v>
      </c>
      <c r="Q13" s="69"/>
      <c r="R13" s="134"/>
    </row>
    <row r="14" spans="1:255" ht="14.25" customHeight="1">
      <c r="A14" s="167"/>
      <c r="B14" s="170"/>
      <c r="C14" s="170"/>
      <c r="D14" s="38">
        <f>D12</f>
        <v>46385</v>
      </c>
      <c r="E14" s="39" t="s">
        <v>11</v>
      </c>
      <c r="F14" s="40">
        <f>F13</f>
        <v>46390</v>
      </c>
      <c r="G14" s="74">
        <v>1628</v>
      </c>
      <c r="H14" s="75"/>
      <c r="I14" s="74">
        <f>I12+I13</f>
        <v>4</v>
      </c>
      <c r="J14" s="76">
        <f>J12+J13</f>
        <v>1624</v>
      </c>
      <c r="K14" s="74">
        <f>K12+K13</f>
        <v>0</v>
      </c>
      <c r="L14" s="81"/>
      <c r="M14" s="74">
        <v>1258</v>
      </c>
      <c r="N14" s="74"/>
      <c r="O14" s="74">
        <f>O12+O13</f>
        <v>0</v>
      </c>
      <c r="P14" s="76">
        <f>P12+P13</f>
        <v>1258</v>
      </c>
      <c r="Q14" s="74">
        <f>Q12+Q13</f>
        <v>0</v>
      </c>
    </row>
    <row r="15" spans="1:255" ht="14.25" customHeight="1">
      <c r="A15" s="166" t="s">
        <v>58</v>
      </c>
      <c r="B15" s="171" t="s">
        <v>10</v>
      </c>
      <c r="C15" s="171"/>
      <c r="D15" s="42">
        <f>D18+7</f>
        <v>46378</v>
      </c>
      <c r="E15" s="43" t="s">
        <v>11</v>
      </c>
      <c r="F15" s="44">
        <f>D15+2</f>
        <v>46380</v>
      </c>
      <c r="G15" s="82">
        <v>872</v>
      </c>
      <c r="H15" s="83"/>
      <c r="I15" s="63">
        <v>9</v>
      </c>
      <c r="J15" s="79">
        <f>G15-(I15+K15)</f>
        <v>830</v>
      </c>
      <c r="K15" s="84">
        <v>33</v>
      </c>
      <c r="L15" s="132" t="s">
        <v>74</v>
      </c>
      <c r="M15" s="85">
        <v>385</v>
      </c>
      <c r="N15" s="84"/>
      <c r="O15" s="84">
        <v>9</v>
      </c>
      <c r="P15" s="79">
        <f>M15-(O15+Q15)</f>
        <v>373</v>
      </c>
      <c r="Q15" s="84">
        <v>3</v>
      </c>
      <c r="R15" s="131"/>
    </row>
    <row r="16" spans="1:255" ht="14.25" customHeight="1">
      <c r="A16" s="166"/>
      <c r="B16" s="169" t="s">
        <v>12</v>
      </c>
      <c r="C16" s="169"/>
      <c r="D16" s="28">
        <f>D15+3</f>
        <v>46381</v>
      </c>
      <c r="E16" s="29" t="s">
        <v>11</v>
      </c>
      <c r="F16" s="30">
        <f>D16+2</f>
        <v>46383</v>
      </c>
      <c r="G16" s="86">
        <v>432</v>
      </c>
      <c r="H16" s="70"/>
      <c r="I16" s="69"/>
      <c r="J16" s="65">
        <f>G16-(I16+K16)</f>
        <v>432</v>
      </c>
      <c r="K16" s="69"/>
      <c r="L16" s="87"/>
      <c r="M16" s="71">
        <v>480</v>
      </c>
      <c r="N16" s="69"/>
      <c r="O16" s="69"/>
      <c r="P16" s="65">
        <f>M16-(O16+Q16)</f>
        <v>480</v>
      </c>
      <c r="Q16" s="69"/>
      <c r="R16" s="181"/>
      <c r="S16" s="181"/>
    </row>
    <row r="17" spans="1:18" ht="14.25" customHeight="1">
      <c r="A17" s="166"/>
      <c r="B17" s="172"/>
      <c r="C17" s="172"/>
      <c r="D17" s="31">
        <f>D15</f>
        <v>46378</v>
      </c>
      <c r="E17" s="32" t="s">
        <v>11</v>
      </c>
      <c r="F17" s="33">
        <f>F16</f>
        <v>46383</v>
      </c>
      <c r="G17" s="88">
        <v>1304</v>
      </c>
      <c r="H17" s="75"/>
      <c r="I17" s="74">
        <f>I15+I16</f>
        <v>9</v>
      </c>
      <c r="J17" s="76">
        <f>J15+J16</f>
        <v>1262</v>
      </c>
      <c r="K17" s="74">
        <f>K15+K16</f>
        <v>33</v>
      </c>
      <c r="L17" s="81"/>
      <c r="M17" s="74">
        <v>865</v>
      </c>
      <c r="N17" s="77"/>
      <c r="O17" s="74">
        <f>O15+O16</f>
        <v>9</v>
      </c>
      <c r="P17" s="76">
        <f>P15+P16</f>
        <v>853</v>
      </c>
      <c r="Q17" s="77">
        <f>Q15+Q16</f>
        <v>3</v>
      </c>
    </row>
    <row r="18" spans="1:18" ht="14.25" customHeight="1">
      <c r="A18" s="165" t="s">
        <v>38</v>
      </c>
      <c r="B18" s="168" t="s">
        <v>10</v>
      </c>
      <c r="C18" s="168"/>
      <c r="D18" s="22">
        <f>D21+7</f>
        <v>46371</v>
      </c>
      <c r="E18" s="23" t="s">
        <v>11</v>
      </c>
      <c r="F18" s="24">
        <f>D18+2</f>
        <v>46373</v>
      </c>
      <c r="G18" s="86">
        <v>0</v>
      </c>
      <c r="H18" s="64"/>
      <c r="I18" s="63"/>
      <c r="J18" s="79">
        <f>G18-(I18+K18)</f>
        <v>0</v>
      </c>
      <c r="K18" s="63"/>
      <c r="L18" s="132"/>
      <c r="M18" s="66">
        <v>0</v>
      </c>
      <c r="N18" s="63"/>
      <c r="O18" s="63"/>
      <c r="P18" s="79">
        <f>M18-(O18+Q18)</f>
        <v>0</v>
      </c>
      <c r="Q18" s="63"/>
      <c r="R18" s="131"/>
    </row>
    <row r="19" spans="1:18" ht="14.25" customHeight="1">
      <c r="A19" s="166"/>
      <c r="B19" s="169" t="s">
        <v>12</v>
      </c>
      <c r="C19" s="169"/>
      <c r="D19" s="28">
        <f>D18+3</f>
        <v>46374</v>
      </c>
      <c r="E19" s="29" t="s">
        <v>11</v>
      </c>
      <c r="F19" s="30">
        <f>D19+2</f>
        <v>46376</v>
      </c>
      <c r="G19" s="86">
        <v>496</v>
      </c>
      <c r="H19" s="70"/>
      <c r="I19" s="84">
        <v>9</v>
      </c>
      <c r="J19" s="65">
        <f>G19-(I19+K19)</f>
        <v>486</v>
      </c>
      <c r="K19" s="69">
        <v>1</v>
      </c>
      <c r="L19" s="133" t="s">
        <v>73</v>
      </c>
      <c r="M19" s="71">
        <v>320</v>
      </c>
      <c r="N19" s="69"/>
      <c r="O19" s="69"/>
      <c r="P19" s="65">
        <f>M19-(O19+Q19)</f>
        <v>320</v>
      </c>
      <c r="Q19" s="69"/>
      <c r="R19" s="131"/>
    </row>
    <row r="20" spans="1:18" ht="14.25" customHeight="1">
      <c r="A20" s="167"/>
      <c r="B20" s="170"/>
      <c r="C20" s="170"/>
      <c r="D20" s="38">
        <f>D18</f>
        <v>46371</v>
      </c>
      <c r="E20" s="39" t="s">
        <v>11</v>
      </c>
      <c r="F20" s="40">
        <f>F19</f>
        <v>46376</v>
      </c>
      <c r="G20" s="88">
        <v>496</v>
      </c>
      <c r="H20" s="75"/>
      <c r="I20" s="77">
        <f>I18+I19</f>
        <v>9</v>
      </c>
      <c r="J20" s="76">
        <f>J18+J19</f>
        <v>486</v>
      </c>
      <c r="K20" s="74">
        <f>K18+K19</f>
        <v>1</v>
      </c>
      <c r="L20" s="81"/>
      <c r="M20" s="74">
        <v>320</v>
      </c>
      <c r="N20" s="74"/>
      <c r="O20" s="74">
        <f>O18+O19</f>
        <v>0</v>
      </c>
      <c r="P20" s="76">
        <f>P18+P19</f>
        <v>320</v>
      </c>
      <c r="Q20" s="74">
        <f>Q18+Q19</f>
        <v>0</v>
      </c>
    </row>
    <row r="21" spans="1:18" ht="14.25" customHeight="1">
      <c r="A21" s="166" t="s">
        <v>51</v>
      </c>
      <c r="B21" s="171" t="s">
        <v>10</v>
      </c>
      <c r="C21" s="171"/>
      <c r="D21" s="42">
        <f>D24+7</f>
        <v>46364</v>
      </c>
      <c r="E21" s="43" t="s">
        <v>11</v>
      </c>
      <c r="F21" s="44">
        <f>D21+2</f>
        <v>46366</v>
      </c>
      <c r="G21" s="82">
        <v>0</v>
      </c>
      <c r="H21" s="89" t="s">
        <v>39</v>
      </c>
      <c r="I21" s="63"/>
      <c r="J21" s="79">
        <f>G21-(I21+K21)</f>
        <v>0</v>
      </c>
      <c r="K21" s="63"/>
      <c r="L21" s="132"/>
      <c r="M21" s="68">
        <v>0</v>
      </c>
      <c r="N21" s="63"/>
      <c r="O21" s="63"/>
      <c r="P21" s="79">
        <f>M21-(O21+Q21)</f>
        <v>0</v>
      </c>
      <c r="Q21" s="63"/>
      <c r="R21" s="131"/>
    </row>
    <row r="22" spans="1:18" ht="14.25" customHeight="1">
      <c r="A22" s="166"/>
      <c r="B22" s="169" t="s">
        <v>12</v>
      </c>
      <c r="C22" s="169"/>
      <c r="D22" s="28">
        <f>D21+3</f>
        <v>46367</v>
      </c>
      <c r="E22" s="29" t="s">
        <v>11</v>
      </c>
      <c r="F22" s="30">
        <f>D22+2</f>
        <v>46369</v>
      </c>
      <c r="G22" s="86">
        <v>240</v>
      </c>
      <c r="H22" s="90" t="s">
        <v>40</v>
      </c>
      <c r="I22" s="69"/>
      <c r="J22" s="65">
        <f>G22-(I22+K22)</f>
        <v>240</v>
      </c>
      <c r="K22" s="69"/>
      <c r="L22" s="87"/>
      <c r="M22" s="71">
        <v>206</v>
      </c>
      <c r="N22" s="69"/>
      <c r="O22" s="69"/>
      <c r="P22" s="65">
        <f>M22-(O22+Q22)</f>
        <v>206</v>
      </c>
      <c r="Q22" s="69"/>
      <c r="R22" s="131"/>
    </row>
    <row r="23" spans="1:18" ht="14.25" customHeight="1">
      <c r="A23" s="166"/>
      <c r="B23" s="172"/>
      <c r="C23" s="172"/>
      <c r="D23" s="31">
        <f>D21</f>
        <v>46364</v>
      </c>
      <c r="E23" s="32" t="s">
        <v>11</v>
      </c>
      <c r="F23" s="33">
        <f>F22</f>
        <v>46369</v>
      </c>
      <c r="G23" s="88">
        <v>240</v>
      </c>
      <c r="H23" s="90" t="s">
        <v>41</v>
      </c>
      <c r="I23" s="77">
        <f>I21+I22</f>
        <v>0</v>
      </c>
      <c r="J23" s="76">
        <f>J21+J22</f>
        <v>240</v>
      </c>
      <c r="K23" s="74">
        <f>K21+K22</f>
        <v>0</v>
      </c>
      <c r="L23" s="81"/>
      <c r="M23" s="74">
        <v>206</v>
      </c>
      <c r="N23" s="74"/>
      <c r="O23" s="74">
        <f>O21+O22</f>
        <v>0</v>
      </c>
      <c r="P23" s="76">
        <f>P21+P22</f>
        <v>206</v>
      </c>
      <c r="Q23" s="74">
        <f>Q21+Q22</f>
        <v>0</v>
      </c>
    </row>
    <row r="24" spans="1:18" ht="14.25" customHeight="1">
      <c r="A24" s="165" t="s">
        <v>42</v>
      </c>
      <c r="B24" s="168" t="s">
        <v>10</v>
      </c>
      <c r="C24" s="168"/>
      <c r="D24" s="22">
        <f>D27+7</f>
        <v>46357</v>
      </c>
      <c r="E24" s="23" t="s">
        <v>11</v>
      </c>
      <c r="F24" s="24">
        <f>D24+2</f>
        <v>46359</v>
      </c>
      <c r="G24" s="91">
        <v>10</v>
      </c>
      <c r="H24" s="89" t="s">
        <v>43</v>
      </c>
      <c r="I24" s="63"/>
      <c r="J24" s="79">
        <f>G24-(I24+K24)</f>
        <v>10</v>
      </c>
      <c r="K24" s="84"/>
      <c r="L24" s="132"/>
      <c r="M24" s="85">
        <v>0</v>
      </c>
      <c r="N24" s="84"/>
      <c r="O24" s="84"/>
      <c r="P24" s="79">
        <f>M24-(O24+Q24)</f>
        <v>0</v>
      </c>
      <c r="Q24" s="84"/>
    </row>
    <row r="25" spans="1:18" ht="14.25" customHeight="1">
      <c r="A25" s="166"/>
      <c r="B25" s="169" t="s">
        <v>12</v>
      </c>
      <c r="C25" s="169"/>
      <c r="D25" s="28">
        <f>D24+3</f>
        <v>46360</v>
      </c>
      <c r="E25" s="29" t="s">
        <v>11</v>
      </c>
      <c r="F25" s="30">
        <f>D25+2</f>
        <v>46362</v>
      </c>
      <c r="G25" s="92">
        <v>190</v>
      </c>
      <c r="H25" s="90" t="s">
        <v>44</v>
      </c>
      <c r="I25" s="69">
        <v>16</v>
      </c>
      <c r="J25" s="65">
        <f>G25-(I25+K25)</f>
        <v>172</v>
      </c>
      <c r="K25" s="84">
        <v>2</v>
      </c>
      <c r="L25" s="87" t="s">
        <v>72</v>
      </c>
      <c r="M25" s="71">
        <v>268</v>
      </c>
      <c r="N25" s="69"/>
      <c r="O25" s="69">
        <v>42</v>
      </c>
      <c r="P25" s="65">
        <f>M25-(O25+Q25)</f>
        <v>210</v>
      </c>
      <c r="Q25" s="69">
        <v>16</v>
      </c>
      <c r="R25" s="131"/>
    </row>
    <row r="26" spans="1:18" ht="14.25" customHeight="1">
      <c r="A26" s="167"/>
      <c r="B26" s="170"/>
      <c r="C26" s="170"/>
      <c r="D26" s="38">
        <f>D24</f>
        <v>46357</v>
      </c>
      <c r="E26" s="39" t="s">
        <v>11</v>
      </c>
      <c r="F26" s="40">
        <f>F25</f>
        <v>46362</v>
      </c>
      <c r="G26" s="88">
        <v>200</v>
      </c>
      <c r="H26" s="90" t="s">
        <v>45</v>
      </c>
      <c r="I26" s="77">
        <f>I24+I25</f>
        <v>16</v>
      </c>
      <c r="J26" s="76">
        <f>J24+J25</f>
        <v>182</v>
      </c>
      <c r="K26" s="77">
        <f>K24+K25</f>
        <v>2</v>
      </c>
      <c r="L26" s="93"/>
      <c r="M26" s="74">
        <v>268</v>
      </c>
      <c r="N26" s="69"/>
      <c r="O26" s="74">
        <f>O24+O25</f>
        <v>42</v>
      </c>
      <c r="P26" s="76">
        <f>P24+P25</f>
        <v>210</v>
      </c>
      <c r="Q26" s="74">
        <f>Q24+Q25</f>
        <v>16</v>
      </c>
    </row>
    <row r="27" spans="1:18" ht="14.25" customHeight="1">
      <c r="A27" s="166" t="s">
        <v>46</v>
      </c>
      <c r="B27" s="171" t="s">
        <v>10</v>
      </c>
      <c r="C27" s="171"/>
      <c r="D27" s="42">
        <v>46350</v>
      </c>
      <c r="E27" s="43" t="s">
        <v>11</v>
      </c>
      <c r="F27" s="44">
        <f>D27+2</f>
        <v>46352</v>
      </c>
      <c r="G27" s="82">
        <v>0</v>
      </c>
      <c r="H27" s="89"/>
      <c r="I27" s="63"/>
      <c r="J27" s="79">
        <f>G27-(I27+K27)</f>
        <v>0</v>
      </c>
      <c r="K27" s="63"/>
      <c r="L27" s="80"/>
      <c r="M27" s="85">
        <v>0</v>
      </c>
      <c r="N27" s="63"/>
      <c r="O27" s="63"/>
      <c r="P27" s="65">
        <f>M27-(O27+Q27)</f>
        <v>0</v>
      </c>
      <c r="Q27" s="63"/>
    </row>
    <row r="28" spans="1:18" ht="14.25" customHeight="1">
      <c r="A28" s="166"/>
      <c r="B28" s="169" t="s">
        <v>12</v>
      </c>
      <c r="C28" s="169"/>
      <c r="D28" s="28">
        <f>D27+3</f>
        <v>46353</v>
      </c>
      <c r="E28" s="29" t="s">
        <v>11</v>
      </c>
      <c r="F28" s="30">
        <f>D28+2</f>
        <v>46355</v>
      </c>
      <c r="G28" s="94">
        <v>0</v>
      </c>
      <c r="H28" s="90"/>
      <c r="I28" s="69"/>
      <c r="J28" s="65">
        <f>G28-(I28+K28)</f>
        <v>0</v>
      </c>
      <c r="K28" s="69"/>
      <c r="L28" s="87"/>
      <c r="M28" s="71">
        <v>120</v>
      </c>
      <c r="N28" s="69"/>
      <c r="O28" s="69"/>
      <c r="P28" s="65">
        <f>M28-(O28+Q28)</f>
        <v>60</v>
      </c>
      <c r="Q28" s="69">
        <v>60</v>
      </c>
      <c r="R28" s="21"/>
    </row>
    <row r="29" spans="1:18" ht="14.25" customHeight="1">
      <c r="A29" s="166"/>
      <c r="B29" s="172"/>
      <c r="C29" s="172"/>
      <c r="D29" s="31">
        <f>D27</f>
        <v>46350</v>
      </c>
      <c r="E29" s="32" t="s">
        <v>11</v>
      </c>
      <c r="F29" s="33">
        <f>F28</f>
        <v>46355</v>
      </c>
      <c r="G29" s="74">
        <v>0</v>
      </c>
      <c r="H29" s="95"/>
      <c r="I29" s="74">
        <f>I27+I28</f>
        <v>0</v>
      </c>
      <c r="J29" s="76">
        <f>J27+J28</f>
        <v>0</v>
      </c>
      <c r="K29" s="74">
        <f>K27+K28</f>
        <v>0</v>
      </c>
      <c r="L29" s="96"/>
      <c r="M29" s="74">
        <v>120</v>
      </c>
      <c r="N29" s="74"/>
      <c r="O29" s="74">
        <f>O27+O28</f>
        <v>0</v>
      </c>
      <c r="P29" s="76">
        <f>P27+P28</f>
        <v>60</v>
      </c>
      <c r="Q29" s="74">
        <f>Q27+Q28</f>
        <v>60</v>
      </c>
    </row>
    <row r="30" spans="1:18" ht="14.25" customHeight="1">
      <c r="A30" s="165" t="s">
        <v>47</v>
      </c>
      <c r="B30" s="168"/>
      <c r="C30" s="168"/>
      <c r="D30" s="46"/>
      <c r="E30" s="47"/>
      <c r="F30" s="48"/>
      <c r="G30" s="25">
        <v>0</v>
      </c>
      <c r="H30" s="25"/>
      <c r="I30" s="25"/>
      <c r="J30" s="26"/>
      <c r="K30" s="25"/>
      <c r="L30" s="27"/>
      <c r="M30" s="45">
        <v>0</v>
      </c>
      <c r="N30" s="25"/>
      <c r="O30" s="25"/>
      <c r="P30" s="37"/>
      <c r="Q30" s="25"/>
    </row>
    <row r="31" spans="1:18" ht="14.25" customHeight="1">
      <c r="A31" s="167"/>
      <c r="B31" s="170"/>
      <c r="C31" s="170"/>
      <c r="D31" s="49"/>
      <c r="E31" s="50"/>
      <c r="F31" s="51"/>
      <c r="G31" s="34">
        <v>0</v>
      </c>
      <c r="H31" s="34"/>
      <c r="I31" s="34"/>
      <c r="J31" s="52"/>
      <c r="K31" s="35"/>
      <c r="L31" s="41"/>
      <c r="M31" s="36"/>
      <c r="N31" s="35"/>
      <c r="O31" s="35"/>
      <c r="P31" s="37"/>
      <c r="Q31" s="35"/>
    </row>
    <row r="32" spans="1:18" ht="18" customHeight="1">
      <c r="A32" s="177" t="s">
        <v>13</v>
      </c>
      <c r="B32" s="178"/>
      <c r="C32" s="178"/>
      <c r="D32" s="53"/>
      <c r="E32" s="54"/>
      <c r="F32" s="55"/>
      <c r="G32" s="56">
        <v>0</v>
      </c>
      <c r="H32" s="56"/>
      <c r="I32" s="56"/>
      <c r="J32" s="57"/>
      <c r="K32" s="58"/>
      <c r="L32" s="59"/>
      <c r="M32" s="60"/>
      <c r="N32" s="58"/>
      <c r="O32" s="58"/>
      <c r="P32" s="57"/>
      <c r="Q32" s="58"/>
    </row>
    <row r="33" spans="1:17" ht="18" customHeight="1">
      <c r="A33" s="179" t="s">
        <v>14</v>
      </c>
      <c r="B33" s="180"/>
      <c r="C33" s="180"/>
      <c r="D33" s="61"/>
      <c r="E33" s="100"/>
      <c r="F33" s="55"/>
      <c r="G33" s="97">
        <f>(G11+G14+G17+G20+G23+G26+G29)</f>
        <v>4748</v>
      </c>
      <c r="H33" s="58"/>
      <c r="I33" s="97">
        <f>(I11+I14+I17+I20+I23+I26+I29)</f>
        <v>38</v>
      </c>
      <c r="J33" s="57">
        <f>(J11+J14+J17+J20+J23+J26+J29)</f>
        <v>4674</v>
      </c>
      <c r="K33" s="97">
        <f>(K11+K14+K17+K20+K23+K26+K29)</f>
        <v>36</v>
      </c>
      <c r="L33" s="62"/>
      <c r="M33" s="97">
        <f>(M11+M14+M17+M20+M23+M26+M29)</f>
        <v>3885</v>
      </c>
      <c r="N33" s="58"/>
      <c r="O33" s="97">
        <f>(O11+O14+O17+O20+O23+O26+O29)</f>
        <v>51</v>
      </c>
      <c r="P33" s="57">
        <f>(P11+P14+P17+P20+P23+P26+P29)</f>
        <v>3755</v>
      </c>
      <c r="Q33" s="97">
        <f>(Q11+Q14+Q17+Q20+Q23+Q26+Q29)</f>
        <v>79</v>
      </c>
    </row>
    <row r="34" spans="1:17">
      <c r="A34" s="13" t="s">
        <v>15</v>
      </c>
    </row>
  </sheetData>
  <mergeCells count="54">
    <mergeCell ref="A1:L2"/>
    <mergeCell ref="B4:C4"/>
    <mergeCell ref="E4:F4"/>
    <mergeCell ref="G4:H4"/>
    <mergeCell ref="I4:K4"/>
    <mergeCell ref="M6:Q6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G6:L6"/>
    <mergeCell ref="P7:P8"/>
    <mergeCell ref="Q7:Q8"/>
    <mergeCell ref="D6:F8"/>
    <mergeCell ref="A12:A14"/>
    <mergeCell ref="B12:C12"/>
    <mergeCell ref="B13:C13"/>
    <mergeCell ref="B14:C14"/>
    <mergeCell ref="A9:A11"/>
    <mergeCell ref="B9:C9"/>
    <mergeCell ref="B10:C10"/>
    <mergeCell ref="B11:C11"/>
    <mergeCell ref="A6:C8"/>
    <mergeCell ref="A15:A17"/>
    <mergeCell ref="B15:C15"/>
    <mergeCell ref="B16:C16"/>
    <mergeCell ref="R16:S16"/>
    <mergeCell ref="B17:C17"/>
    <mergeCell ref="A18:A20"/>
    <mergeCell ref="B18:C18"/>
    <mergeCell ref="B19:C19"/>
    <mergeCell ref="B20:C20"/>
    <mergeCell ref="A21:A23"/>
    <mergeCell ref="B21:C21"/>
    <mergeCell ref="B22:C22"/>
    <mergeCell ref="B23:C23"/>
    <mergeCell ref="A24:A26"/>
    <mergeCell ref="B24:C24"/>
    <mergeCell ref="B25:C25"/>
    <mergeCell ref="B26:C26"/>
    <mergeCell ref="A32:C32"/>
    <mergeCell ref="A33:C33"/>
    <mergeCell ref="A27:A29"/>
    <mergeCell ref="B27:C27"/>
    <mergeCell ref="B28:C28"/>
    <mergeCell ref="B29:C29"/>
    <mergeCell ref="A30:A31"/>
    <mergeCell ref="B30:C30"/>
    <mergeCell ref="B31:C31"/>
  </mergeCells>
  <phoneticPr fontId="2" type="noConversion"/>
  <printOptions horizontalCentered="1" verticalCentered="1"/>
  <pageMargins left="0.15748031496062992" right="0.15748031496062992" top="0.59055118110236227" bottom="0.39370078740157483" header="0.39370078740157483" footer="0.19685039370078741"/>
  <pageSetup paperSize="9" scale="95" orientation="landscape" r:id="rId1"/>
  <headerFooter alignWithMargins="0">
    <oddHeader>&amp;R대외비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ACBA-E579-4072-8966-264236F72455}">
  <sheetPr>
    <pageSetUpPr fitToPage="1"/>
  </sheetPr>
  <dimension ref="A1:IU34"/>
  <sheetViews>
    <sheetView showGridLines="0" view="pageLayout" zoomScaleNormal="100" workbookViewId="0">
      <selection activeCell="N11" sqref="N11"/>
    </sheetView>
  </sheetViews>
  <sheetFormatPr defaultRowHeight="16.5"/>
  <cols>
    <col min="1" max="1" width="7.625" style="13" customWidth="1"/>
    <col min="2" max="3" width="4.25" style="13" customWidth="1"/>
    <col min="4" max="4" width="5.375" style="13" customWidth="1"/>
    <col min="5" max="5" width="3.125" style="13" customWidth="1"/>
    <col min="6" max="6" width="5.375" style="13" customWidth="1"/>
    <col min="7" max="17" width="10" style="13" customWidth="1"/>
    <col min="18" max="16384" width="9" style="13"/>
  </cols>
  <sheetData>
    <row r="1" spans="1:255" ht="18" customHeight="1">
      <c r="A1" s="163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2" t="s">
        <v>25</v>
      </c>
      <c r="N1" s="12" t="s">
        <v>26</v>
      </c>
      <c r="O1" s="12" t="s">
        <v>27</v>
      </c>
      <c r="P1" s="12" t="s">
        <v>28</v>
      </c>
      <c r="Q1" s="12" t="s">
        <v>29</v>
      </c>
    </row>
    <row r="2" spans="1:255" ht="39.950000000000003" customHeight="1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2"/>
      <c r="N2" s="12"/>
      <c r="O2" s="12"/>
      <c r="P2" s="12"/>
      <c r="Q2" s="12"/>
    </row>
    <row r="3" spans="1:255" ht="8.1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</row>
    <row r="4" spans="1:255" s="18" customFormat="1" ht="18" customHeight="1">
      <c r="A4" s="138" t="s">
        <v>30</v>
      </c>
      <c r="B4" s="182" t="s">
        <v>48</v>
      </c>
      <c r="C4" s="182"/>
      <c r="D4" s="14"/>
      <c r="E4" s="183" t="s">
        <v>31</v>
      </c>
      <c r="F4" s="183"/>
      <c r="G4" s="184" t="s">
        <v>32</v>
      </c>
      <c r="H4" s="184"/>
      <c r="I4" s="185" t="s">
        <v>33</v>
      </c>
      <c r="J4" s="185"/>
      <c r="K4" s="185"/>
      <c r="L4" s="16" t="s">
        <v>59</v>
      </c>
      <c r="M4" s="16"/>
      <c r="N4" s="17"/>
      <c r="O4" s="139" t="s">
        <v>34</v>
      </c>
      <c r="P4" s="16" t="s">
        <v>65</v>
      </c>
      <c r="Q4" s="15"/>
    </row>
    <row r="5" spans="1:255" s="17" customFormat="1" ht="12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</row>
    <row r="6" spans="1:255" s="21" customFormat="1" ht="12" customHeight="1">
      <c r="A6" s="146" t="s">
        <v>35</v>
      </c>
      <c r="B6" s="147"/>
      <c r="C6" s="147"/>
      <c r="D6" s="152" t="s">
        <v>1</v>
      </c>
      <c r="E6" s="152"/>
      <c r="F6" s="153"/>
      <c r="G6" s="156" t="s">
        <v>2</v>
      </c>
      <c r="H6" s="156"/>
      <c r="I6" s="156"/>
      <c r="J6" s="156"/>
      <c r="K6" s="157"/>
      <c r="L6" s="158"/>
      <c r="M6" s="159" t="s">
        <v>3</v>
      </c>
      <c r="N6" s="159"/>
      <c r="O6" s="159"/>
      <c r="P6" s="159"/>
      <c r="Q6" s="159"/>
      <c r="R6" s="20"/>
    </row>
    <row r="7" spans="1:255" s="21" customFormat="1" ht="12" customHeight="1">
      <c r="A7" s="148"/>
      <c r="B7" s="149"/>
      <c r="C7" s="149"/>
      <c r="D7" s="154"/>
      <c r="E7" s="154"/>
      <c r="F7" s="155"/>
      <c r="G7" s="141" t="s">
        <v>4</v>
      </c>
      <c r="H7" s="141" t="s">
        <v>5</v>
      </c>
      <c r="I7" s="141" t="s">
        <v>6</v>
      </c>
      <c r="J7" s="143" t="s">
        <v>7</v>
      </c>
      <c r="K7" s="141" t="s">
        <v>8</v>
      </c>
      <c r="L7" s="173" t="s">
        <v>9</v>
      </c>
      <c r="M7" s="161" t="s">
        <v>4</v>
      </c>
      <c r="N7" s="141" t="s">
        <v>5</v>
      </c>
      <c r="O7" s="141" t="s">
        <v>6</v>
      </c>
      <c r="P7" s="143" t="s">
        <v>7</v>
      </c>
      <c r="Q7" s="141" t="s">
        <v>8</v>
      </c>
    </row>
    <row r="8" spans="1:255" s="21" customFormat="1" ht="12" customHeight="1">
      <c r="A8" s="150"/>
      <c r="B8" s="151"/>
      <c r="C8" s="151"/>
      <c r="D8" s="154"/>
      <c r="E8" s="154"/>
      <c r="F8" s="155"/>
      <c r="G8" s="160"/>
      <c r="H8" s="160"/>
      <c r="I8" s="160"/>
      <c r="J8" s="144"/>
      <c r="K8" s="142"/>
      <c r="L8" s="174"/>
      <c r="M8" s="162"/>
      <c r="N8" s="142"/>
      <c r="O8" s="142"/>
      <c r="P8" s="144"/>
      <c r="Q8" s="142"/>
    </row>
    <row r="9" spans="1:255" ht="14.25" customHeight="1">
      <c r="A9" s="166" t="s">
        <v>36</v>
      </c>
      <c r="B9" s="171" t="s">
        <v>10</v>
      </c>
      <c r="C9" s="171"/>
      <c r="D9" s="22">
        <f>D12+7</f>
        <v>46392</v>
      </c>
      <c r="E9" s="23" t="s">
        <v>11</v>
      </c>
      <c r="F9" s="24">
        <f>D9+2</f>
        <v>46394</v>
      </c>
      <c r="G9" s="63">
        <v>1008</v>
      </c>
      <c r="H9" s="64"/>
      <c r="I9" s="63"/>
      <c r="J9" s="65">
        <f>G9-(I9+K9)</f>
        <v>1008</v>
      </c>
      <c r="K9" s="66"/>
      <c r="L9" s="67"/>
      <c r="M9" s="66">
        <v>976</v>
      </c>
      <c r="N9" s="63"/>
      <c r="O9" s="68">
        <v>20</v>
      </c>
      <c r="P9" s="65">
        <f>M9-(O9+Q9)</f>
        <v>956</v>
      </c>
      <c r="Q9" s="66"/>
    </row>
    <row r="10" spans="1:255" ht="14.25" customHeight="1">
      <c r="A10" s="166"/>
      <c r="B10" s="169" t="s">
        <v>12</v>
      </c>
      <c r="C10" s="169"/>
      <c r="D10" s="28">
        <f>D9+3</f>
        <v>46395</v>
      </c>
      <c r="E10" s="29" t="s">
        <v>11</v>
      </c>
      <c r="F10" s="30">
        <f>D10+2</f>
        <v>46397</v>
      </c>
      <c r="G10" s="69"/>
      <c r="H10" s="70"/>
      <c r="I10" s="69"/>
      <c r="J10" s="65">
        <f>G10-(I10+K10)</f>
        <v>0</v>
      </c>
      <c r="K10" s="71"/>
      <c r="L10" s="72"/>
      <c r="M10" s="71"/>
      <c r="N10" s="69"/>
      <c r="O10" s="73"/>
      <c r="P10" s="65">
        <f>M10-(O10+Q10)</f>
        <v>0</v>
      </c>
      <c r="Q10" s="71"/>
    </row>
    <row r="11" spans="1:255" ht="14.25" customHeight="1">
      <c r="A11" s="166"/>
      <c r="B11" s="172"/>
      <c r="C11" s="172"/>
      <c r="D11" s="31">
        <f>D9</f>
        <v>46392</v>
      </c>
      <c r="E11" s="32" t="s">
        <v>11</v>
      </c>
      <c r="F11" s="33">
        <f>F10</f>
        <v>46397</v>
      </c>
      <c r="G11" s="74">
        <f>G9+G10</f>
        <v>1008</v>
      </c>
      <c r="H11" s="75"/>
      <c r="I11" s="74">
        <f>I9+I10</f>
        <v>0</v>
      </c>
      <c r="J11" s="76">
        <f>J9+J10</f>
        <v>1008</v>
      </c>
      <c r="K11" s="77">
        <f>K9+K10</f>
        <v>0</v>
      </c>
      <c r="L11" s="78"/>
      <c r="M11" s="74">
        <f>M9+M10</f>
        <v>976</v>
      </c>
      <c r="N11" s="77"/>
      <c r="O11" s="74">
        <f>O9+O10</f>
        <v>20</v>
      </c>
      <c r="P11" s="76">
        <f>P9+P10</f>
        <v>956</v>
      </c>
      <c r="Q11" s="77">
        <f>Q9+Q10</f>
        <v>0</v>
      </c>
    </row>
    <row r="12" spans="1:255" ht="14.25" customHeight="1">
      <c r="A12" s="165" t="s">
        <v>57</v>
      </c>
      <c r="B12" s="168" t="s">
        <v>10</v>
      </c>
      <c r="C12" s="168"/>
      <c r="D12" s="22">
        <f>D15+7</f>
        <v>46385</v>
      </c>
      <c r="E12" s="23" t="s">
        <v>11</v>
      </c>
      <c r="F12" s="24">
        <f>D12+2</f>
        <v>46387</v>
      </c>
      <c r="G12" s="63">
        <v>1176</v>
      </c>
      <c r="H12" s="64"/>
      <c r="I12" s="63"/>
      <c r="J12" s="79">
        <f>G12-(I12+K12)</f>
        <v>1176</v>
      </c>
      <c r="K12" s="63"/>
      <c r="L12" s="132"/>
      <c r="M12" s="66">
        <v>746</v>
      </c>
      <c r="N12" s="63"/>
      <c r="O12" s="63"/>
      <c r="P12" s="79">
        <f>M12-(O12+Q12)</f>
        <v>746</v>
      </c>
      <c r="Q12" s="63"/>
      <c r="R12" s="135"/>
    </row>
    <row r="13" spans="1:255" ht="14.25" customHeight="1">
      <c r="A13" s="166"/>
      <c r="B13" s="169" t="s">
        <v>12</v>
      </c>
      <c r="C13" s="169"/>
      <c r="D13" s="28">
        <f>D12+3</f>
        <v>46388</v>
      </c>
      <c r="E13" s="29" t="s">
        <v>11</v>
      </c>
      <c r="F13" s="30">
        <f>D13+2</f>
        <v>46390</v>
      </c>
      <c r="G13" s="69">
        <v>448</v>
      </c>
      <c r="H13" s="70"/>
      <c r="I13" s="69"/>
      <c r="J13" s="65">
        <f>G13-(I13+K13)</f>
        <v>448</v>
      </c>
      <c r="K13" s="69"/>
      <c r="L13" s="67"/>
      <c r="M13" s="71">
        <v>512</v>
      </c>
      <c r="N13" s="69"/>
      <c r="O13" s="69"/>
      <c r="P13" s="65">
        <f>M13-(O13+Q13)</f>
        <v>512</v>
      </c>
      <c r="Q13" s="69"/>
      <c r="R13" s="134"/>
    </row>
    <row r="14" spans="1:255" ht="14.25" customHeight="1">
      <c r="A14" s="167"/>
      <c r="B14" s="170"/>
      <c r="C14" s="170"/>
      <c r="D14" s="38">
        <f>D12</f>
        <v>46385</v>
      </c>
      <c r="E14" s="39" t="s">
        <v>11</v>
      </c>
      <c r="F14" s="40">
        <f>F13</f>
        <v>46390</v>
      </c>
      <c r="G14" s="74">
        <v>1624</v>
      </c>
      <c r="H14" s="75"/>
      <c r="I14" s="74">
        <f>I12+I13</f>
        <v>0</v>
      </c>
      <c r="J14" s="76">
        <f>J12+J13</f>
        <v>1624</v>
      </c>
      <c r="K14" s="74">
        <f>K12+K13</f>
        <v>0</v>
      </c>
      <c r="L14" s="81"/>
      <c r="M14" s="74">
        <v>1258</v>
      </c>
      <c r="N14" s="74"/>
      <c r="O14" s="74">
        <f>O12+O13</f>
        <v>0</v>
      </c>
      <c r="P14" s="76">
        <f>P12+P13</f>
        <v>1258</v>
      </c>
      <c r="Q14" s="74">
        <f>Q12+Q13</f>
        <v>0</v>
      </c>
    </row>
    <row r="15" spans="1:255" ht="14.25" customHeight="1">
      <c r="A15" s="166" t="s">
        <v>58</v>
      </c>
      <c r="B15" s="171" t="s">
        <v>10</v>
      </c>
      <c r="C15" s="171"/>
      <c r="D15" s="42">
        <f>D18+7</f>
        <v>46378</v>
      </c>
      <c r="E15" s="43" t="s">
        <v>11</v>
      </c>
      <c r="F15" s="44">
        <f>D15+2</f>
        <v>46380</v>
      </c>
      <c r="G15" s="82">
        <v>830</v>
      </c>
      <c r="H15" s="83"/>
      <c r="I15" s="63">
        <v>219</v>
      </c>
      <c r="J15" s="79">
        <f>G15-(I15+K15)</f>
        <v>528</v>
      </c>
      <c r="K15" s="84">
        <v>83</v>
      </c>
      <c r="L15" s="132" t="s">
        <v>75</v>
      </c>
      <c r="M15" s="85">
        <v>373</v>
      </c>
      <c r="N15" s="84"/>
      <c r="O15" s="84">
        <v>199</v>
      </c>
      <c r="P15" s="79">
        <f>M15-(O15+Q15)</f>
        <v>150</v>
      </c>
      <c r="Q15" s="84">
        <v>24</v>
      </c>
      <c r="R15" s="131"/>
    </row>
    <row r="16" spans="1:255" ht="14.25" customHeight="1">
      <c r="A16" s="166"/>
      <c r="B16" s="169" t="s">
        <v>12</v>
      </c>
      <c r="C16" s="169"/>
      <c r="D16" s="28">
        <f>D15+3</f>
        <v>46381</v>
      </c>
      <c r="E16" s="29" t="s">
        <v>11</v>
      </c>
      <c r="F16" s="30">
        <f>D16+2</f>
        <v>46383</v>
      </c>
      <c r="G16" s="86">
        <v>432</v>
      </c>
      <c r="H16" s="70"/>
      <c r="I16" s="69"/>
      <c r="J16" s="65">
        <f>G16-(I16+K16)</f>
        <v>432</v>
      </c>
      <c r="K16" s="69"/>
      <c r="L16" s="87"/>
      <c r="M16" s="71">
        <v>480</v>
      </c>
      <c r="N16" s="69"/>
      <c r="O16" s="69"/>
      <c r="P16" s="65">
        <f>M16-(O16+Q16)</f>
        <v>480</v>
      </c>
      <c r="Q16" s="69"/>
      <c r="R16" s="181"/>
      <c r="S16" s="181"/>
    </row>
    <row r="17" spans="1:18" ht="14.25" customHeight="1">
      <c r="A17" s="166"/>
      <c r="B17" s="172"/>
      <c r="C17" s="172"/>
      <c r="D17" s="31">
        <f>D15</f>
        <v>46378</v>
      </c>
      <c r="E17" s="32" t="s">
        <v>11</v>
      </c>
      <c r="F17" s="33">
        <f>F16</f>
        <v>46383</v>
      </c>
      <c r="G17" s="88">
        <v>1262</v>
      </c>
      <c r="H17" s="75"/>
      <c r="I17" s="74">
        <f>I15+I16</f>
        <v>219</v>
      </c>
      <c r="J17" s="76">
        <f>J15+J16</f>
        <v>960</v>
      </c>
      <c r="K17" s="74">
        <f>K15+K16</f>
        <v>83</v>
      </c>
      <c r="L17" s="81"/>
      <c r="M17" s="74">
        <v>853</v>
      </c>
      <c r="N17" s="77"/>
      <c r="O17" s="74">
        <f>O15+O16</f>
        <v>199</v>
      </c>
      <c r="P17" s="76">
        <f>P15+P16</f>
        <v>630</v>
      </c>
      <c r="Q17" s="77">
        <f>Q15+Q16</f>
        <v>24</v>
      </c>
    </row>
    <row r="18" spans="1:18" ht="14.25" customHeight="1">
      <c r="A18" s="165" t="s">
        <v>38</v>
      </c>
      <c r="B18" s="168" t="s">
        <v>10</v>
      </c>
      <c r="C18" s="168"/>
      <c r="D18" s="22">
        <f>D21+7</f>
        <v>46371</v>
      </c>
      <c r="E18" s="23" t="s">
        <v>11</v>
      </c>
      <c r="F18" s="24">
        <f>D18+2</f>
        <v>46373</v>
      </c>
      <c r="G18" s="86">
        <v>0</v>
      </c>
      <c r="H18" s="64"/>
      <c r="I18" s="63"/>
      <c r="J18" s="79">
        <f>G18-(I18+K18)</f>
        <v>0</v>
      </c>
      <c r="K18" s="63"/>
      <c r="L18" s="132"/>
      <c r="M18" s="66">
        <v>0</v>
      </c>
      <c r="N18" s="63"/>
      <c r="O18" s="63"/>
      <c r="P18" s="79">
        <f>M18-(O18+Q18)</f>
        <v>0</v>
      </c>
      <c r="Q18" s="63"/>
      <c r="R18" s="131"/>
    </row>
    <row r="19" spans="1:18" ht="14.25" customHeight="1">
      <c r="A19" s="166"/>
      <c r="B19" s="169" t="s">
        <v>12</v>
      </c>
      <c r="C19" s="169"/>
      <c r="D19" s="28">
        <f>D18+3</f>
        <v>46374</v>
      </c>
      <c r="E19" s="29" t="s">
        <v>11</v>
      </c>
      <c r="F19" s="30">
        <f>D19+2</f>
        <v>46376</v>
      </c>
      <c r="G19" s="86">
        <v>486</v>
      </c>
      <c r="H19" s="70"/>
      <c r="I19" s="84">
        <v>74</v>
      </c>
      <c r="J19" s="65">
        <f>G19-(I19+K19)</f>
        <v>380</v>
      </c>
      <c r="K19" s="69">
        <v>32</v>
      </c>
      <c r="L19" s="133" t="s">
        <v>78</v>
      </c>
      <c r="M19" s="71">
        <v>320</v>
      </c>
      <c r="N19" s="69"/>
      <c r="O19" s="69">
        <v>12</v>
      </c>
      <c r="P19" s="65">
        <f>M19-(O19+Q19)</f>
        <v>300</v>
      </c>
      <c r="Q19" s="69">
        <v>8</v>
      </c>
      <c r="R19" s="131"/>
    </row>
    <row r="20" spans="1:18" ht="14.25" customHeight="1">
      <c r="A20" s="167"/>
      <c r="B20" s="170"/>
      <c r="C20" s="170"/>
      <c r="D20" s="38">
        <f>D18</f>
        <v>46371</v>
      </c>
      <c r="E20" s="39" t="s">
        <v>11</v>
      </c>
      <c r="F20" s="40">
        <f>F19</f>
        <v>46376</v>
      </c>
      <c r="G20" s="88">
        <v>486</v>
      </c>
      <c r="H20" s="75"/>
      <c r="I20" s="77">
        <f>I18+I19</f>
        <v>74</v>
      </c>
      <c r="J20" s="76">
        <f>J18+J19</f>
        <v>380</v>
      </c>
      <c r="K20" s="74">
        <f>K18+K19</f>
        <v>32</v>
      </c>
      <c r="L20" s="81"/>
      <c r="M20" s="74">
        <v>320</v>
      </c>
      <c r="N20" s="74"/>
      <c r="O20" s="74">
        <f>O18+O19</f>
        <v>12</v>
      </c>
      <c r="P20" s="76">
        <f>P18+P19</f>
        <v>300</v>
      </c>
      <c r="Q20" s="74">
        <f>Q18+Q19</f>
        <v>8</v>
      </c>
    </row>
    <row r="21" spans="1:18" ht="14.25" customHeight="1">
      <c r="A21" s="166" t="s">
        <v>51</v>
      </c>
      <c r="B21" s="171" t="s">
        <v>10</v>
      </c>
      <c r="C21" s="171"/>
      <c r="D21" s="42">
        <f>D24+7</f>
        <v>46364</v>
      </c>
      <c r="E21" s="43" t="s">
        <v>11</v>
      </c>
      <c r="F21" s="44">
        <f>D21+2</f>
        <v>46366</v>
      </c>
      <c r="G21" s="82">
        <v>0</v>
      </c>
      <c r="H21" s="89" t="s">
        <v>39</v>
      </c>
      <c r="I21" s="63"/>
      <c r="J21" s="79">
        <f>G21-(I21+K21)</f>
        <v>0</v>
      </c>
      <c r="K21" s="63"/>
      <c r="L21" s="132"/>
      <c r="M21" s="68">
        <v>0</v>
      </c>
      <c r="N21" s="63"/>
      <c r="O21" s="63"/>
      <c r="P21" s="79">
        <f>M21-(O21+Q21)</f>
        <v>0</v>
      </c>
      <c r="Q21" s="63"/>
      <c r="R21" s="131"/>
    </row>
    <row r="22" spans="1:18" ht="14.25" customHeight="1">
      <c r="A22" s="166"/>
      <c r="B22" s="169" t="s">
        <v>12</v>
      </c>
      <c r="C22" s="169"/>
      <c r="D22" s="28">
        <f>D21+3</f>
        <v>46367</v>
      </c>
      <c r="E22" s="29" t="s">
        <v>11</v>
      </c>
      <c r="F22" s="30">
        <f>D22+2</f>
        <v>46369</v>
      </c>
      <c r="G22" s="86">
        <v>240</v>
      </c>
      <c r="H22" s="90" t="s">
        <v>40</v>
      </c>
      <c r="I22" s="69">
        <v>20</v>
      </c>
      <c r="J22" s="65">
        <f>G22-(I22+K22)</f>
        <v>200</v>
      </c>
      <c r="K22" s="69">
        <v>20</v>
      </c>
      <c r="L22" s="87" t="s">
        <v>62</v>
      </c>
      <c r="M22" s="71">
        <v>206</v>
      </c>
      <c r="N22" s="69"/>
      <c r="O22" s="69">
        <v>10</v>
      </c>
      <c r="P22" s="65">
        <f>M22-(O22+Q22)</f>
        <v>190</v>
      </c>
      <c r="Q22" s="69">
        <v>6</v>
      </c>
      <c r="R22" s="131"/>
    </row>
    <row r="23" spans="1:18" ht="14.25" customHeight="1">
      <c r="A23" s="166"/>
      <c r="B23" s="172"/>
      <c r="C23" s="172"/>
      <c r="D23" s="31">
        <f>D21</f>
        <v>46364</v>
      </c>
      <c r="E23" s="32" t="s">
        <v>11</v>
      </c>
      <c r="F23" s="33">
        <f>F22</f>
        <v>46369</v>
      </c>
      <c r="G23" s="88">
        <v>240</v>
      </c>
      <c r="H23" s="90" t="s">
        <v>41</v>
      </c>
      <c r="I23" s="77">
        <f>I21+I22</f>
        <v>20</v>
      </c>
      <c r="J23" s="76">
        <f>J21+J22</f>
        <v>200</v>
      </c>
      <c r="K23" s="74">
        <f>K21+K22</f>
        <v>20</v>
      </c>
      <c r="L23" s="81"/>
      <c r="M23" s="74">
        <v>206</v>
      </c>
      <c r="N23" s="74"/>
      <c r="O23" s="74">
        <f>O21+O22</f>
        <v>10</v>
      </c>
      <c r="P23" s="76">
        <f>P21+P22</f>
        <v>190</v>
      </c>
      <c r="Q23" s="74">
        <f>Q21+Q22</f>
        <v>6</v>
      </c>
    </row>
    <row r="24" spans="1:18" ht="14.25" customHeight="1">
      <c r="A24" s="165" t="s">
        <v>42</v>
      </c>
      <c r="B24" s="168" t="s">
        <v>10</v>
      </c>
      <c r="C24" s="168"/>
      <c r="D24" s="22">
        <f>D27+7</f>
        <v>46357</v>
      </c>
      <c r="E24" s="23" t="s">
        <v>11</v>
      </c>
      <c r="F24" s="24">
        <f>D24+2</f>
        <v>46359</v>
      </c>
      <c r="G24" s="91">
        <v>10</v>
      </c>
      <c r="H24" s="89" t="s">
        <v>43</v>
      </c>
      <c r="I24" s="63">
        <v>10</v>
      </c>
      <c r="J24" s="79">
        <f>G24-(I24+K24)</f>
        <v>0</v>
      </c>
      <c r="K24" s="84"/>
      <c r="L24" s="132"/>
      <c r="M24" s="85">
        <v>0</v>
      </c>
      <c r="N24" s="84"/>
      <c r="O24" s="84"/>
      <c r="P24" s="79">
        <f>M24-(O24+Q24)</f>
        <v>0</v>
      </c>
      <c r="Q24" s="84"/>
    </row>
    <row r="25" spans="1:18" ht="14.25" customHeight="1">
      <c r="A25" s="166"/>
      <c r="B25" s="169" t="s">
        <v>12</v>
      </c>
      <c r="C25" s="169"/>
      <c r="D25" s="28">
        <f>D24+3</f>
        <v>46360</v>
      </c>
      <c r="E25" s="29" t="s">
        <v>11</v>
      </c>
      <c r="F25" s="30">
        <f>D25+2</f>
        <v>46362</v>
      </c>
      <c r="G25" s="92">
        <v>172</v>
      </c>
      <c r="H25" s="90" t="s">
        <v>44</v>
      </c>
      <c r="I25" s="69">
        <v>139</v>
      </c>
      <c r="J25" s="65">
        <f>G25-(I25+K25)</f>
        <v>0</v>
      </c>
      <c r="K25" s="84">
        <v>33</v>
      </c>
      <c r="L25" s="87" t="s">
        <v>74</v>
      </c>
      <c r="M25" s="71">
        <v>210</v>
      </c>
      <c r="N25" s="69"/>
      <c r="O25" s="69">
        <v>138</v>
      </c>
      <c r="P25" s="65">
        <f>M25-(O25+Q25)</f>
        <v>58</v>
      </c>
      <c r="Q25" s="69">
        <v>14</v>
      </c>
      <c r="R25" s="131"/>
    </row>
    <row r="26" spans="1:18" ht="14.25" customHeight="1">
      <c r="A26" s="167"/>
      <c r="B26" s="170"/>
      <c r="C26" s="170"/>
      <c r="D26" s="38">
        <f>D24</f>
        <v>46357</v>
      </c>
      <c r="E26" s="39" t="s">
        <v>11</v>
      </c>
      <c r="F26" s="40">
        <f>F25</f>
        <v>46362</v>
      </c>
      <c r="G26" s="88">
        <v>182</v>
      </c>
      <c r="H26" s="90" t="s">
        <v>45</v>
      </c>
      <c r="I26" s="77">
        <f>I24+I25</f>
        <v>149</v>
      </c>
      <c r="J26" s="76">
        <f>J24+J25</f>
        <v>0</v>
      </c>
      <c r="K26" s="77">
        <f>K24+K25</f>
        <v>33</v>
      </c>
      <c r="L26" s="93"/>
      <c r="M26" s="74">
        <v>210</v>
      </c>
      <c r="N26" s="69"/>
      <c r="O26" s="74">
        <f>O24+O25</f>
        <v>138</v>
      </c>
      <c r="P26" s="76">
        <f>P24+P25</f>
        <v>58</v>
      </c>
      <c r="Q26" s="74">
        <f>Q24+Q25</f>
        <v>14</v>
      </c>
    </row>
    <row r="27" spans="1:18" ht="14.25" customHeight="1">
      <c r="A27" s="166" t="s">
        <v>46</v>
      </c>
      <c r="B27" s="171" t="s">
        <v>10</v>
      </c>
      <c r="C27" s="171"/>
      <c r="D27" s="42">
        <v>46350</v>
      </c>
      <c r="E27" s="43" t="s">
        <v>11</v>
      </c>
      <c r="F27" s="44">
        <f>D27+2</f>
        <v>46352</v>
      </c>
      <c r="G27" s="82">
        <v>0</v>
      </c>
      <c r="H27" s="89"/>
      <c r="I27" s="63"/>
      <c r="J27" s="79">
        <f>G27-(I27+K27)</f>
        <v>0</v>
      </c>
      <c r="K27" s="63"/>
      <c r="L27" s="80"/>
      <c r="M27" s="85">
        <v>0</v>
      </c>
      <c r="N27" s="63"/>
      <c r="O27" s="63"/>
      <c r="P27" s="65">
        <f>M27-(O27+Q27)</f>
        <v>0</v>
      </c>
      <c r="Q27" s="63"/>
    </row>
    <row r="28" spans="1:18" ht="14.25" customHeight="1">
      <c r="A28" s="166"/>
      <c r="B28" s="169" t="s">
        <v>12</v>
      </c>
      <c r="C28" s="169"/>
      <c r="D28" s="28">
        <f>D27+3</f>
        <v>46353</v>
      </c>
      <c r="E28" s="29" t="s">
        <v>11</v>
      </c>
      <c r="F28" s="30">
        <f>D28+2</f>
        <v>46355</v>
      </c>
      <c r="G28" s="94">
        <v>0</v>
      </c>
      <c r="H28" s="90"/>
      <c r="I28" s="69"/>
      <c r="J28" s="65">
        <f>G28-(I28+K28)</f>
        <v>0</v>
      </c>
      <c r="K28" s="69"/>
      <c r="L28" s="87"/>
      <c r="M28" s="71">
        <v>60</v>
      </c>
      <c r="N28" s="69"/>
      <c r="O28" s="69"/>
      <c r="P28" s="65">
        <f>M28-(O28+Q28)</f>
        <v>60</v>
      </c>
      <c r="Q28" s="69"/>
      <c r="R28" s="21"/>
    </row>
    <row r="29" spans="1:18" ht="14.25" customHeight="1">
      <c r="A29" s="166"/>
      <c r="B29" s="172"/>
      <c r="C29" s="172"/>
      <c r="D29" s="31">
        <f>D27</f>
        <v>46350</v>
      </c>
      <c r="E29" s="32" t="s">
        <v>11</v>
      </c>
      <c r="F29" s="33">
        <f>F28</f>
        <v>46355</v>
      </c>
      <c r="G29" s="74">
        <v>0</v>
      </c>
      <c r="H29" s="95"/>
      <c r="I29" s="74">
        <f>I27+I28</f>
        <v>0</v>
      </c>
      <c r="J29" s="76">
        <f>J27+J28</f>
        <v>0</v>
      </c>
      <c r="K29" s="74">
        <f>K27+K28</f>
        <v>0</v>
      </c>
      <c r="L29" s="96"/>
      <c r="M29" s="74">
        <v>60</v>
      </c>
      <c r="N29" s="74"/>
      <c r="O29" s="74">
        <f>O27+O28</f>
        <v>0</v>
      </c>
      <c r="P29" s="76">
        <f>P27+P28</f>
        <v>60</v>
      </c>
      <c r="Q29" s="74">
        <f>Q27+Q28</f>
        <v>0</v>
      </c>
    </row>
    <row r="30" spans="1:18" ht="14.25" customHeight="1">
      <c r="A30" s="165" t="s">
        <v>47</v>
      </c>
      <c r="B30" s="168"/>
      <c r="C30" s="168"/>
      <c r="D30" s="46"/>
      <c r="E30" s="47"/>
      <c r="F30" s="48"/>
      <c r="G30" s="25">
        <v>0</v>
      </c>
      <c r="H30" s="25"/>
      <c r="I30" s="25"/>
      <c r="J30" s="26"/>
      <c r="K30" s="25"/>
      <c r="L30" s="27"/>
      <c r="M30" s="45">
        <v>0</v>
      </c>
      <c r="N30" s="25"/>
      <c r="O30" s="25"/>
      <c r="P30" s="37"/>
      <c r="Q30" s="25"/>
    </row>
    <row r="31" spans="1:18" ht="14.25" customHeight="1">
      <c r="A31" s="167"/>
      <c r="B31" s="170"/>
      <c r="C31" s="170"/>
      <c r="D31" s="49"/>
      <c r="E31" s="50"/>
      <c r="F31" s="51"/>
      <c r="G31" s="34">
        <v>0</v>
      </c>
      <c r="H31" s="34"/>
      <c r="I31" s="34"/>
      <c r="J31" s="52"/>
      <c r="K31" s="35"/>
      <c r="L31" s="41"/>
      <c r="M31" s="36"/>
      <c r="N31" s="35"/>
      <c r="O31" s="35"/>
      <c r="P31" s="37"/>
      <c r="Q31" s="35"/>
    </row>
    <row r="32" spans="1:18" ht="18" customHeight="1">
      <c r="A32" s="177" t="s">
        <v>13</v>
      </c>
      <c r="B32" s="178"/>
      <c r="C32" s="178"/>
      <c r="D32" s="53"/>
      <c r="E32" s="54"/>
      <c r="F32" s="55"/>
      <c r="G32" s="56">
        <v>0</v>
      </c>
      <c r="H32" s="56"/>
      <c r="I32" s="56"/>
      <c r="J32" s="57"/>
      <c r="K32" s="58"/>
      <c r="L32" s="59"/>
      <c r="M32" s="60"/>
      <c r="N32" s="58"/>
      <c r="O32" s="58"/>
      <c r="P32" s="57"/>
      <c r="Q32" s="58"/>
    </row>
    <row r="33" spans="1:17" ht="18" customHeight="1">
      <c r="A33" s="179" t="s">
        <v>14</v>
      </c>
      <c r="B33" s="180"/>
      <c r="C33" s="180"/>
      <c r="D33" s="61"/>
      <c r="E33" s="100"/>
      <c r="F33" s="55"/>
      <c r="G33" s="97">
        <f>(G11+G14+G17+G20+G23+G26+G29)</f>
        <v>4802</v>
      </c>
      <c r="H33" s="58"/>
      <c r="I33" s="97">
        <f>(I11+I14+I17+I20+I23+I26+I29)</f>
        <v>462</v>
      </c>
      <c r="J33" s="57">
        <f>(J11+J14+J17+J20+J23+J26+J29)</f>
        <v>4172</v>
      </c>
      <c r="K33" s="97">
        <f>(K11+K14+K17+K20+K23+K26+K29)</f>
        <v>168</v>
      </c>
      <c r="L33" s="62"/>
      <c r="M33" s="97">
        <f>(M11+M14+M17+M20+M23+M26+M29)</f>
        <v>3883</v>
      </c>
      <c r="N33" s="58"/>
      <c r="O33" s="97">
        <f>(O11+O14+O17+O20+O23+O26+O29)</f>
        <v>379</v>
      </c>
      <c r="P33" s="57">
        <f>(P11+P14+P17+P20+P23+P26+P29)</f>
        <v>3452</v>
      </c>
      <c r="Q33" s="97">
        <f>(Q11+Q14+Q17+Q20+Q23+Q26+Q29)</f>
        <v>52</v>
      </c>
    </row>
    <row r="34" spans="1:17">
      <c r="A34" s="13" t="s">
        <v>15</v>
      </c>
    </row>
  </sheetData>
  <mergeCells count="54">
    <mergeCell ref="A1:L2"/>
    <mergeCell ref="B4:C4"/>
    <mergeCell ref="E4:F4"/>
    <mergeCell ref="G4:H4"/>
    <mergeCell ref="I4:K4"/>
    <mergeCell ref="M6:Q6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G6:L6"/>
    <mergeCell ref="P7:P8"/>
    <mergeCell ref="Q7:Q8"/>
    <mergeCell ref="D6:F8"/>
    <mergeCell ref="A12:A14"/>
    <mergeCell ref="B12:C12"/>
    <mergeCell ref="B13:C13"/>
    <mergeCell ref="B14:C14"/>
    <mergeCell ref="A9:A11"/>
    <mergeCell ref="B9:C9"/>
    <mergeCell ref="B10:C10"/>
    <mergeCell ref="B11:C11"/>
    <mergeCell ref="A6:C8"/>
    <mergeCell ref="A15:A17"/>
    <mergeCell ref="B15:C15"/>
    <mergeCell ref="B16:C16"/>
    <mergeCell ref="R16:S16"/>
    <mergeCell ref="B17:C17"/>
    <mergeCell ref="A18:A20"/>
    <mergeCell ref="B18:C18"/>
    <mergeCell ref="B19:C19"/>
    <mergeCell ref="B20:C20"/>
    <mergeCell ref="A21:A23"/>
    <mergeCell ref="B21:C21"/>
    <mergeCell ref="B22:C22"/>
    <mergeCell ref="B23:C23"/>
    <mergeCell ref="A24:A26"/>
    <mergeCell ref="B24:C24"/>
    <mergeCell ref="B25:C25"/>
    <mergeCell ref="B26:C26"/>
    <mergeCell ref="A32:C32"/>
    <mergeCell ref="A33:C33"/>
    <mergeCell ref="A27:A29"/>
    <mergeCell ref="B27:C27"/>
    <mergeCell ref="B28:C28"/>
    <mergeCell ref="B29:C29"/>
    <mergeCell ref="A30:A31"/>
    <mergeCell ref="B30:C30"/>
    <mergeCell ref="B31:C31"/>
  </mergeCells>
  <phoneticPr fontId="2" type="noConversion"/>
  <printOptions horizontalCentered="1" verticalCentered="1"/>
  <pageMargins left="0.15748031496062992" right="0.15748031496062992" top="0.59055118110236227" bottom="0.39370078740157483" header="0.39370078740157483" footer="0.19685039370078741"/>
  <pageSetup paperSize="9" scale="95" orientation="landscape" r:id="rId1"/>
  <headerFooter alignWithMargins="0">
    <oddHeader>&amp;R대외비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0009-2BEA-463A-A509-1062C1E17B05}">
  <sheetPr>
    <pageSetUpPr fitToPage="1"/>
  </sheetPr>
  <dimension ref="A1:IU34"/>
  <sheetViews>
    <sheetView showGridLines="0" view="pageLayout" zoomScaleNormal="100" workbookViewId="0">
      <selection activeCell="M14" sqref="M14"/>
    </sheetView>
  </sheetViews>
  <sheetFormatPr defaultRowHeight="16.5"/>
  <cols>
    <col min="1" max="1" width="7.625" style="13" customWidth="1"/>
    <col min="2" max="3" width="4.25" style="13" customWidth="1"/>
    <col min="4" max="4" width="5.375" style="13" customWidth="1"/>
    <col min="5" max="5" width="3.125" style="13" customWidth="1"/>
    <col min="6" max="6" width="5.375" style="13" customWidth="1"/>
    <col min="7" max="17" width="10" style="13" customWidth="1"/>
    <col min="18" max="16384" width="9" style="13"/>
  </cols>
  <sheetData>
    <row r="1" spans="1:255" ht="18" customHeight="1">
      <c r="A1" s="163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2" t="s">
        <v>25</v>
      </c>
      <c r="N1" s="12" t="s">
        <v>26</v>
      </c>
      <c r="O1" s="12" t="s">
        <v>27</v>
      </c>
      <c r="P1" s="12" t="s">
        <v>28</v>
      </c>
      <c r="Q1" s="12" t="s">
        <v>29</v>
      </c>
    </row>
    <row r="2" spans="1:255" ht="39.950000000000003" customHeight="1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2"/>
      <c r="N2" s="12"/>
      <c r="O2" s="12"/>
      <c r="P2" s="12"/>
      <c r="Q2" s="12"/>
    </row>
    <row r="3" spans="1:255" ht="8.1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</row>
    <row r="4" spans="1:255" s="18" customFormat="1" ht="18" customHeight="1">
      <c r="A4" s="138" t="s">
        <v>30</v>
      </c>
      <c r="B4" s="182" t="s">
        <v>48</v>
      </c>
      <c r="C4" s="182"/>
      <c r="D4" s="14"/>
      <c r="E4" s="183" t="s">
        <v>31</v>
      </c>
      <c r="F4" s="183"/>
      <c r="G4" s="184" t="s">
        <v>32</v>
      </c>
      <c r="H4" s="184"/>
      <c r="I4" s="185" t="s">
        <v>33</v>
      </c>
      <c r="J4" s="185"/>
      <c r="K4" s="185"/>
      <c r="L4" s="16" t="s">
        <v>59</v>
      </c>
      <c r="M4" s="16"/>
      <c r="N4" s="17"/>
      <c r="O4" s="139" t="s">
        <v>34</v>
      </c>
      <c r="P4" s="16" t="s">
        <v>66</v>
      </c>
      <c r="Q4" s="15"/>
    </row>
    <row r="5" spans="1:255" s="17" customFormat="1" ht="12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</row>
    <row r="6" spans="1:255" s="21" customFormat="1" ht="12" customHeight="1">
      <c r="A6" s="146" t="s">
        <v>35</v>
      </c>
      <c r="B6" s="147"/>
      <c r="C6" s="147"/>
      <c r="D6" s="152" t="s">
        <v>1</v>
      </c>
      <c r="E6" s="152"/>
      <c r="F6" s="153"/>
      <c r="G6" s="156" t="s">
        <v>2</v>
      </c>
      <c r="H6" s="156"/>
      <c r="I6" s="156"/>
      <c r="J6" s="156"/>
      <c r="K6" s="157"/>
      <c r="L6" s="158"/>
      <c r="M6" s="159" t="s">
        <v>3</v>
      </c>
      <c r="N6" s="159"/>
      <c r="O6" s="159"/>
      <c r="P6" s="159"/>
      <c r="Q6" s="159"/>
      <c r="R6" s="20"/>
    </row>
    <row r="7" spans="1:255" s="21" customFormat="1" ht="12" customHeight="1">
      <c r="A7" s="148"/>
      <c r="B7" s="149"/>
      <c r="C7" s="149"/>
      <c r="D7" s="154"/>
      <c r="E7" s="154"/>
      <c r="F7" s="155"/>
      <c r="G7" s="141" t="s">
        <v>4</v>
      </c>
      <c r="H7" s="141" t="s">
        <v>5</v>
      </c>
      <c r="I7" s="141" t="s">
        <v>6</v>
      </c>
      <c r="J7" s="143" t="s">
        <v>7</v>
      </c>
      <c r="K7" s="141" t="s">
        <v>8</v>
      </c>
      <c r="L7" s="173" t="s">
        <v>9</v>
      </c>
      <c r="M7" s="161" t="s">
        <v>4</v>
      </c>
      <c r="N7" s="141" t="s">
        <v>5</v>
      </c>
      <c r="O7" s="141" t="s">
        <v>6</v>
      </c>
      <c r="P7" s="143" t="s">
        <v>7</v>
      </c>
      <c r="Q7" s="141" t="s">
        <v>8</v>
      </c>
    </row>
    <row r="8" spans="1:255" s="21" customFormat="1" ht="12" customHeight="1">
      <c r="A8" s="150"/>
      <c r="B8" s="151"/>
      <c r="C8" s="151"/>
      <c r="D8" s="154"/>
      <c r="E8" s="154"/>
      <c r="F8" s="155"/>
      <c r="G8" s="160"/>
      <c r="H8" s="160"/>
      <c r="I8" s="160"/>
      <c r="J8" s="144"/>
      <c r="K8" s="142"/>
      <c r="L8" s="174"/>
      <c r="M8" s="162"/>
      <c r="N8" s="142"/>
      <c r="O8" s="142"/>
      <c r="P8" s="144"/>
      <c r="Q8" s="142"/>
    </row>
    <row r="9" spans="1:255" ht="14.25" customHeight="1">
      <c r="A9" s="166" t="s">
        <v>36</v>
      </c>
      <c r="B9" s="171" t="s">
        <v>10</v>
      </c>
      <c r="C9" s="171"/>
      <c r="D9" s="22">
        <f>D12+7</f>
        <v>46392</v>
      </c>
      <c r="E9" s="23" t="s">
        <v>11</v>
      </c>
      <c r="F9" s="24">
        <f>D9+2</f>
        <v>46394</v>
      </c>
      <c r="G9" s="63">
        <v>1008</v>
      </c>
      <c r="H9" s="64"/>
      <c r="I9" s="63"/>
      <c r="J9" s="65">
        <f>G9-(I9+K9)</f>
        <v>1008</v>
      </c>
      <c r="K9" s="66"/>
      <c r="L9" s="67"/>
      <c r="M9" s="66">
        <v>956</v>
      </c>
      <c r="N9" s="63"/>
      <c r="O9" s="68"/>
      <c r="P9" s="65">
        <f>M9-(O9+Q9)</f>
        <v>606</v>
      </c>
      <c r="Q9" s="66">
        <v>350</v>
      </c>
    </row>
    <row r="10" spans="1:255" ht="14.25" customHeight="1">
      <c r="A10" s="166"/>
      <c r="B10" s="169" t="s">
        <v>12</v>
      </c>
      <c r="C10" s="169"/>
      <c r="D10" s="28">
        <f>D9+3</f>
        <v>46395</v>
      </c>
      <c r="E10" s="29" t="s">
        <v>11</v>
      </c>
      <c r="F10" s="30">
        <f>D10+2</f>
        <v>46397</v>
      </c>
      <c r="G10" s="69">
        <v>208</v>
      </c>
      <c r="H10" s="70"/>
      <c r="I10" s="69"/>
      <c r="J10" s="65">
        <f>G10-(I10+K10)</f>
        <v>208</v>
      </c>
      <c r="K10" s="71"/>
      <c r="L10" s="72"/>
      <c r="M10" s="71">
        <v>224</v>
      </c>
      <c r="N10" s="69"/>
      <c r="O10" s="73"/>
      <c r="P10" s="65">
        <f>M10-(O10+Q10)</f>
        <v>224</v>
      </c>
      <c r="Q10" s="71"/>
    </row>
    <row r="11" spans="1:255" ht="14.25" customHeight="1">
      <c r="A11" s="166"/>
      <c r="B11" s="172"/>
      <c r="C11" s="172"/>
      <c r="D11" s="31">
        <f>D9</f>
        <v>46392</v>
      </c>
      <c r="E11" s="32" t="s">
        <v>11</v>
      </c>
      <c r="F11" s="33">
        <f>F10</f>
        <v>46397</v>
      </c>
      <c r="G11" s="74">
        <f>G9+G10</f>
        <v>1216</v>
      </c>
      <c r="H11" s="75"/>
      <c r="I11" s="74">
        <f>I9+I10</f>
        <v>0</v>
      </c>
      <c r="J11" s="76">
        <f>J9+J10</f>
        <v>1216</v>
      </c>
      <c r="K11" s="77">
        <f>K9+K10</f>
        <v>0</v>
      </c>
      <c r="L11" s="78"/>
      <c r="M11" s="74">
        <f>M9+M10</f>
        <v>1180</v>
      </c>
      <c r="N11" s="77"/>
      <c r="O11" s="74">
        <f>O9+O10</f>
        <v>0</v>
      </c>
      <c r="P11" s="76">
        <f>P9+P10</f>
        <v>830</v>
      </c>
      <c r="Q11" s="77">
        <f>Q9+Q10</f>
        <v>350</v>
      </c>
    </row>
    <row r="12" spans="1:255" ht="14.25" customHeight="1">
      <c r="A12" s="165" t="s">
        <v>57</v>
      </c>
      <c r="B12" s="168" t="s">
        <v>10</v>
      </c>
      <c r="C12" s="168"/>
      <c r="D12" s="22">
        <f>D15+7</f>
        <v>46385</v>
      </c>
      <c r="E12" s="23" t="s">
        <v>11</v>
      </c>
      <c r="F12" s="24">
        <f>D12+2</f>
        <v>46387</v>
      </c>
      <c r="G12" s="63">
        <v>1176</v>
      </c>
      <c r="H12" s="64"/>
      <c r="I12" s="63"/>
      <c r="J12" s="79">
        <f>G12-(I12+K12)</f>
        <v>1026</v>
      </c>
      <c r="K12" s="63">
        <v>150</v>
      </c>
      <c r="L12" s="132" t="s">
        <v>77</v>
      </c>
      <c r="M12" s="66">
        <v>746</v>
      </c>
      <c r="N12" s="63"/>
      <c r="O12" s="63"/>
      <c r="P12" s="79">
        <f>M12-(O12+Q12)</f>
        <v>746</v>
      </c>
      <c r="Q12" s="63"/>
      <c r="R12" s="135"/>
    </row>
    <row r="13" spans="1:255" ht="14.25" customHeight="1">
      <c r="A13" s="166"/>
      <c r="B13" s="169" t="s">
        <v>12</v>
      </c>
      <c r="C13" s="169"/>
      <c r="D13" s="28">
        <f>D12+3</f>
        <v>46388</v>
      </c>
      <c r="E13" s="29" t="s">
        <v>11</v>
      </c>
      <c r="F13" s="30">
        <f>D13+2</f>
        <v>46390</v>
      </c>
      <c r="G13" s="69">
        <v>448</v>
      </c>
      <c r="H13" s="70"/>
      <c r="I13" s="69"/>
      <c r="J13" s="65">
        <f>G13-(I13+K13)</f>
        <v>448</v>
      </c>
      <c r="K13" s="69"/>
      <c r="L13" s="67"/>
      <c r="M13" s="71">
        <v>512</v>
      </c>
      <c r="N13" s="69"/>
      <c r="O13" s="69"/>
      <c r="P13" s="65">
        <f>M13-(O13+Q13)</f>
        <v>512</v>
      </c>
      <c r="Q13" s="69"/>
      <c r="R13" s="134"/>
    </row>
    <row r="14" spans="1:255" ht="14.25" customHeight="1">
      <c r="A14" s="167"/>
      <c r="B14" s="170"/>
      <c r="C14" s="170"/>
      <c r="D14" s="38">
        <f>D12</f>
        <v>46385</v>
      </c>
      <c r="E14" s="39" t="s">
        <v>11</v>
      </c>
      <c r="F14" s="40">
        <f>F13</f>
        <v>46390</v>
      </c>
      <c r="G14" s="74">
        <v>1624</v>
      </c>
      <c r="H14" s="75"/>
      <c r="I14" s="74">
        <f>I12+I13</f>
        <v>0</v>
      </c>
      <c r="J14" s="76">
        <f>J12+J13</f>
        <v>1474</v>
      </c>
      <c r="K14" s="74">
        <f>K12+K13</f>
        <v>150</v>
      </c>
      <c r="L14" s="81"/>
      <c r="M14" s="74">
        <v>1258</v>
      </c>
      <c r="N14" s="74"/>
      <c r="O14" s="74">
        <f>O12+O13</f>
        <v>0</v>
      </c>
      <c r="P14" s="76">
        <f>P12+P13</f>
        <v>1258</v>
      </c>
      <c r="Q14" s="74">
        <f>Q12+Q13</f>
        <v>0</v>
      </c>
    </row>
    <row r="15" spans="1:255" ht="14.25" customHeight="1">
      <c r="A15" s="166" t="s">
        <v>58</v>
      </c>
      <c r="B15" s="171" t="s">
        <v>10</v>
      </c>
      <c r="C15" s="171"/>
      <c r="D15" s="42">
        <f>D18+7</f>
        <v>46378</v>
      </c>
      <c r="E15" s="43" t="s">
        <v>11</v>
      </c>
      <c r="F15" s="44">
        <f>D15+2</f>
        <v>46380</v>
      </c>
      <c r="G15" s="82">
        <v>528</v>
      </c>
      <c r="H15" s="83"/>
      <c r="I15" s="63"/>
      <c r="J15" s="79">
        <f>G15-(I15+K15)</f>
        <v>528</v>
      </c>
      <c r="K15" s="84"/>
      <c r="L15" s="132"/>
      <c r="M15" s="85">
        <v>150</v>
      </c>
      <c r="N15" s="84"/>
      <c r="O15" s="84"/>
      <c r="P15" s="79">
        <f>M15-(O15+Q15)</f>
        <v>150</v>
      </c>
      <c r="Q15" s="84"/>
      <c r="R15" s="131"/>
    </row>
    <row r="16" spans="1:255" ht="14.25" customHeight="1">
      <c r="A16" s="166"/>
      <c r="B16" s="169" t="s">
        <v>12</v>
      </c>
      <c r="C16" s="169"/>
      <c r="D16" s="28">
        <f>D15+3</f>
        <v>46381</v>
      </c>
      <c r="E16" s="29" t="s">
        <v>11</v>
      </c>
      <c r="F16" s="30">
        <f>D16+2</f>
        <v>46383</v>
      </c>
      <c r="G16" s="86">
        <v>432</v>
      </c>
      <c r="H16" s="70"/>
      <c r="I16" s="69"/>
      <c r="J16" s="65">
        <f>G16-(I16+K16)</f>
        <v>432</v>
      </c>
      <c r="K16" s="69"/>
      <c r="L16" s="87"/>
      <c r="M16" s="71">
        <v>480</v>
      </c>
      <c r="N16" s="69"/>
      <c r="O16" s="69"/>
      <c r="P16" s="65">
        <f>M16-(O16+Q16)</f>
        <v>380</v>
      </c>
      <c r="Q16" s="69">
        <v>100</v>
      </c>
      <c r="R16" s="181"/>
      <c r="S16" s="181"/>
    </row>
    <row r="17" spans="1:18" ht="14.25" customHeight="1">
      <c r="A17" s="166"/>
      <c r="B17" s="172"/>
      <c r="C17" s="172"/>
      <c r="D17" s="31">
        <f>D15</f>
        <v>46378</v>
      </c>
      <c r="E17" s="32" t="s">
        <v>11</v>
      </c>
      <c r="F17" s="33">
        <f>F16</f>
        <v>46383</v>
      </c>
      <c r="G17" s="88">
        <v>960</v>
      </c>
      <c r="H17" s="75"/>
      <c r="I17" s="74">
        <f>I15+I16</f>
        <v>0</v>
      </c>
      <c r="J17" s="76">
        <f>J15+J16</f>
        <v>960</v>
      </c>
      <c r="K17" s="74">
        <f>K15+K16</f>
        <v>0</v>
      </c>
      <c r="L17" s="81"/>
      <c r="M17" s="74">
        <v>630</v>
      </c>
      <c r="N17" s="77"/>
      <c r="O17" s="74">
        <f>O15+O16</f>
        <v>0</v>
      </c>
      <c r="P17" s="76">
        <f>P15+P16</f>
        <v>530</v>
      </c>
      <c r="Q17" s="77">
        <f>Q15+Q16</f>
        <v>100</v>
      </c>
    </row>
    <row r="18" spans="1:18" ht="14.25" customHeight="1">
      <c r="A18" s="165" t="s">
        <v>38</v>
      </c>
      <c r="B18" s="168" t="s">
        <v>10</v>
      </c>
      <c r="C18" s="168"/>
      <c r="D18" s="22">
        <f>D21+7</f>
        <v>46371</v>
      </c>
      <c r="E18" s="23" t="s">
        <v>11</v>
      </c>
      <c r="F18" s="24">
        <f>D18+2</f>
        <v>46373</v>
      </c>
      <c r="G18" s="86">
        <v>0</v>
      </c>
      <c r="H18" s="64"/>
      <c r="I18" s="63"/>
      <c r="J18" s="79">
        <f>G18-(I18+K18)</f>
        <v>0</v>
      </c>
      <c r="K18" s="63"/>
      <c r="L18" s="136"/>
      <c r="M18" s="66">
        <v>0</v>
      </c>
      <c r="N18" s="63"/>
      <c r="O18" s="63"/>
      <c r="P18" s="79">
        <f>M18-(O18+Q18)</f>
        <v>0</v>
      </c>
      <c r="Q18" s="63"/>
      <c r="R18" s="131"/>
    </row>
    <row r="19" spans="1:18" ht="14.25" customHeight="1">
      <c r="A19" s="166"/>
      <c r="B19" s="169" t="s">
        <v>12</v>
      </c>
      <c r="C19" s="169"/>
      <c r="D19" s="28">
        <f>D18+3</f>
        <v>46374</v>
      </c>
      <c r="E19" s="29" t="s">
        <v>11</v>
      </c>
      <c r="F19" s="30">
        <f>D19+2</f>
        <v>46376</v>
      </c>
      <c r="G19" s="86">
        <v>380</v>
      </c>
      <c r="H19" s="70"/>
      <c r="I19" s="84"/>
      <c r="J19" s="65">
        <f>G19-(I19+K19)</f>
        <v>380</v>
      </c>
      <c r="K19" s="69"/>
      <c r="L19" s="133"/>
      <c r="M19" s="71">
        <v>300</v>
      </c>
      <c r="N19" s="69"/>
      <c r="O19" s="69"/>
      <c r="P19" s="65">
        <f>M19-(O19+Q19)</f>
        <v>200</v>
      </c>
      <c r="Q19" s="69">
        <v>100</v>
      </c>
      <c r="R19" s="131"/>
    </row>
    <row r="20" spans="1:18" ht="14.25" customHeight="1">
      <c r="A20" s="167"/>
      <c r="B20" s="170"/>
      <c r="C20" s="170"/>
      <c r="D20" s="38">
        <f>D18</f>
        <v>46371</v>
      </c>
      <c r="E20" s="39" t="s">
        <v>11</v>
      </c>
      <c r="F20" s="40">
        <f>F19</f>
        <v>46376</v>
      </c>
      <c r="G20" s="88">
        <v>380</v>
      </c>
      <c r="H20" s="75"/>
      <c r="I20" s="77">
        <f>I18+I19</f>
        <v>0</v>
      </c>
      <c r="J20" s="76">
        <f>J18+J19</f>
        <v>380</v>
      </c>
      <c r="K20" s="74">
        <f>K18+K19</f>
        <v>0</v>
      </c>
      <c r="L20" s="81"/>
      <c r="M20" s="74">
        <v>300</v>
      </c>
      <c r="N20" s="74"/>
      <c r="O20" s="74">
        <f>O18+O19</f>
        <v>0</v>
      </c>
      <c r="P20" s="76">
        <f>P18+P19</f>
        <v>200</v>
      </c>
      <c r="Q20" s="74">
        <f>Q18+Q19</f>
        <v>100</v>
      </c>
    </row>
    <row r="21" spans="1:18" ht="14.25" customHeight="1">
      <c r="A21" s="166" t="s">
        <v>51</v>
      </c>
      <c r="B21" s="171" t="s">
        <v>10</v>
      </c>
      <c r="C21" s="171"/>
      <c r="D21" s="42">
        <f>D24+7</f>
        <v>46364</v>
      </c>
      <c r="E21" s="43" t="s">
        <v>11</v>
      </c>
      <c r="F21" s="44">
        <f>D21+2</f>
        <v>46366</v>
      </c>
      <c r="G21" s="82">
        <v>0</v>
      </c>
      <c r="H21" s="89" t="s">
        <v>39</v>
      </c>
      <c r="I21" s="63"/>
      <c r="J21" s="79">
        <f>G21-(I21+K21)</f>
        <v>0</v>
      </c>
      <c r="K21" s="63"/>
      <c r="L21" s="132"/>
      <c r="M21" s="68">
        <v>0</v>
      </c>
      <c r="N21" s="63"/>
      <c r="O21" s="63"/>
      <c r="P21" s="79">
        <f>M21-(O21+Q21)</f>
        <v>0</v>
      </c>
      <c r="Q21" s="63"/>
      <c r="R21" s="131"/>
    </row>
    <row r="22" spans="1:18" ht="14.25" customHeight="1">
      <c r="A22" s="166"/>
      <c r="B22" s="169" t="s">
        <v>12</v>
      </c>
      <c r="C22" s="169"/>
      <c r="D22" s="28">
        <f>D21+3</f>
        <v>46367</v>
      </c>
      <c r="E22" s="29" t="s">
        <v>11</v>
      </c>
      <c r="F22" s="30">
        <f>D22+2</f>
        <v>46369</v>
      </c>
      <c r="G22" s="86">
        <v>200</v>
      </c>
      <c r="H22" s="90" t="s">
        <v>40</v>
      </c>
      <c r="I22" s="69">
        <v>55</v>
      </c>
      <c r="J22" s="65">
        <f>G22-(I22+K22)</f>
        <v>140</v>
      </c>
      <c r="K22" s="69">
        <v>5</v>
      </c>
      <c r="L22" s="87" t="s">
        <v>61</v>
      </c>
      <c r="M22" s="71">
        <v>190</v>
      </c>
      <c r="N22" s="69" t="s">
        <v>60</v>
      </c>
      <c r="O22" s="69"/>
      <c r="P22" s="65">
        <f>M22-(O22+Q22)</f>
        <v>190</v>
      </c>
      <c r="Q22" s="69"/>
      <c r="R22" s="131"/>
    </row>
    <row r="23" spans="1:18" ht="14.25" customHeight="1">
      <c r="A23" s="166"/>
      <c r="B23" s="172"/>
      <c r="C23" s="172"/>
      <c r="D23" s="31">
        <f>D21</f>
        <v>46364</v>
      </c>
      <c r="E23" s="32" t="s">
        <v>11</v>
      </c>
      <c r="F23" s="33">
        <f>F22</f>
        <v>46369</v>
      </c>
      <c r="G23" s="88">
        <v>200</v>
      </c>
      <c r="H23" s="90" t="s">
        <v>41</v>
      </c>
      <c r="I23" s="77">
        <f>I21+I22</f>
        <v>55</v>
      </c>
      <c r="J23" s="76">
        <f>J21+J22</f>
        <v>140</v>
      </c>
      <c r="K23" s="74">
        <f>K21+K22</f>
        <v>5</v>
      </c>
      <c r="L23" s="81"/>
      <c r="M23" s="74">
        <v>190</v>
      </c>
      <c r="N23" s="74"/>
      <c r="O23" s="74">
        <f>O21+O22</f>
        <v>0</v>
      </c>
      <c r="P23" s="76">
        <f>P21+P22</f>
        <v>190</v>
      </c>
      <c r="Q23" s="74">
        <f>Q21+Q22</f>
        <v>0</v>
      </c>
    </row>
    <row r="24" spans="1:18" ht="14.25" customHeight="1">
      <c r="A24" s="165" t="s">
        <v>42</v>
      </c>
      <c r="B24" s="168" t="s">
        <v>10</v>
      </c>
      <c r="C24" s="168"/>
      <c r="D24" s="22">
        <f>D27+7</f>
        <v>46357</v>
      </c>
      <c r="E24" s="23" t="s">
        <v>11</v>
      </c>
      <c r="F24" s="24">
        <f>D24+2</f>
        <v>46359</v>
      </c>
      <c r="G24" s="91">
        <v>0</v>
      </c>
      <c r="H24" s="89" t="s">
        <v>43</v>
      </c>
      <c r="I24" s="63"/>
      <c r="J24" s="79">
        <f>G24-(I24+K24)</f>
        <v>0</v>
      </c>
      <c r="K24" s="84"/>
      <c r="L24" s="132"/>
      <c r="M24" s="85">
        <v>0</v>
      </c>
      <c r="N24" s="84"/>
      <c r="O24" s="84"/>
      <c r="P24" s="79">
        <f>M24-(O24+Q24)</f>
        <v>0</v>
      </c>
      <c r="Q24" s="84"/>
    </row>
    <row r="25" spans="1:18" ht="14.25" customHeight="1">
      <c r="A25" s="166"/>
      <c r="B25" s="169" t="s">
        <v>12</v>
      </c>
      <c r="C25" s="169"/>
      <c r="D25" s="28">
        <f>D24+3</f>
        <v>46360</v>
      </c>
      <c r="E25" s="29" t="s">
        <v>11</v>
      </c>
      <c r="F25" s="30">
        <f>D25+2</f>
        <v>46362</v>
      </c>
      <c r="G25" s="92">
        <v>0</v>
      </c>
      <c r="H25" s="90" t="s">
        <v>44</v>
      </c>
      <c r="I25" s="69"/>
      <c r="J25" s="65">
        <f>G25-(I25+K25)</f>
        <v>0</v>
      </c>
      <c r="K25" s="84"/>
      <c r="L25" s="87"/>
      <c r="M25" s="71">
        <v>58</v>
      </c>
      <c r="N25" s="69"/>
      <c r="O25" s="69"/>
      <c r="P25" s="65">
        <f>M25-(O25+Q25)</f>
        <v>58</v>
      </c>
      <c r="Q25" s="69"/>
      <c r="R25" s="131"/>
    </row>
    <row r="26" spans="1:18" ht="14.25" customHeight="1">
      <c r="A26" s="167"/>
      <c r="B26" s="170"/>
      <c r="C26" s="170"/>
      <c r="D26" s="38">
        <f>D24</f>
        <v>46357</v>
      </c>
      <c r="E26" s="39" t="s">
        <v>11</v>
      </c>
      <c r="F26" s="40">
        <f>F25</f>
        <v>46362</v>
      </c>
      <c r="G26" s="88">
        <v>0</v>
      </c>
      <c r="H26" s="90" t="s">
        <v>45</v>
      </c>
      <c r="I26" s="77">
        <f>I24+I25</f>
        <v>0</v>
      </c>
      <c r="J26" s="76">
        <f>J24+J25</f>
        <v>0</v>
      </c>
      <c r="K26" s="77">
        <f>K24+K25</f>
        <v>0</v>
      </c>
      <c r="L26" s="93"/>
      <c r="M26" s="74">
        <v>58</v>
      </c>
      <c r="N26" s="69"/>
      <c r="O26" s="74">
        <f>O24+O25</f>
        <v>0</v>
      </c>
      <c r="P26" s="76">
        <f>P24+P25</f>
        <v>58</v>
      </c>
      <c r="Q26" s="74">
        <f>Q24+Q25</f>
        <v>0</v>
      </c>
    </row>
    <row r="27" spans="1:18" ht="14.25" customHeight="1">
      <c r="A27" s="166" t="s">
        <v>46</v>
      </c>
      <c r="B27" s="171" t="s">
        <v>10</v>
      </c>
      <c r="C27" s="171"/>
      <c r="D27" s="42">
        <v>46350</v>
      </c>
      <c r="E27" s="43" t="s">
        <v>11</v>
      </c>
      <c r="F27" s="44">
        <f>D27+2</f>
        <v>46352</v>
      </c>
      <c r="G27" s="82">
        <v>0</v>
      </c>
      <c r="H27" s="89"/>
      <c r="I27" s="63"/>
      <c r="J27" s="79">
        <f>G27-(I27+K27)</f>
        <v>0</v>
      </c>
      <c r="K27" s="63"/>
      <c r="L27" s="80"/>
      <c r="M27" s="85">
        <v>0</v>
      </c>
      <c r="N27" s="63"/>
      <c r="O27" s="63"/>
      <c r="P27" s="65">
        <f>M27-(O27+Q27)</f>
        <v>0</v>
      </c>
      <c r="Q27" s="63"/>
    </row>
    <row r="28" spans="1:18" ht="14.25" customHeight="1">
      <c r="A28" s="166"/>
      <c r="B28" s="169" t="s">
        <v>12</v>
      </c>
      <c r="C28" s="169"/>
      <c r="D28" s="28">
        <f>D27+3</f>
        <v>46353</v>
      </c>
      <c r="E28" s="29" t="s">
        <v>11</v>
      </c>
      <c r="F28" s="30">
        <f>D28+2</f>
        <v>46355</v>
      </c>
      <c r="G28" s="94">
        <v>0</v>
      </c>
      <c r="H28" s="90"/>
      <c r="I28" s="69"/>
      <c r="J28" s="65">
        <f>G28-(I28+K28)</f>
        <v>0</v>
      </c>
      <c r="K28" s="69"/>
      <c r="L28" s="87"/>
      <c r="M28" s="71">
        <v>60</v>
      </c>
      <c r="N28" s="69"/>
      <c r="O28" s="69"/>
      <c r="P28" s="65">
        <f>M28-(O28+Q28)</f>
        <v>0</v>
      </c>
      <c r="Q28" s="69">
        <v>60</v>
      </c>
      <c r="R28" s="21"/>
    </row>
    <row r="29" spans="1:18" ht="14.25" customHeight="1">
      <c r="A29" s="166"/>
      <c r="B29" s="172"/>
      <c r="C29" s="172"/>
      <c r="D29" s="31">
        <f>D27</f>
        <v>46350</v>
      </c>
      <c r="E29" s="32" t="s">
        <v>11</v>
      </c>
      <c r="F29" s="33">
        <f>F28</f>
        <v>46355</v>
      </c>
      <c r="G29" s="74">
        <v>0</v>
      </c>
      <c r="H29" s="95"/>
      <c r="I29" s="74">
        <f>I27+I28</f>
        <v>0</v>
      </c>
      <c r="J29" s="76">
        <f>J27+J28</f>
        <v>0</v>
      </c>
      <c r="K29" s="74">
        <f>K27+K28</f>
        <v>0</v>
      </c>
      <c r="L29" s="96"/>
      <c r="M29" s="74">
        <v>60</v>
      </c>
      <c r="N29" s="74"/>
      <c r="O29" s="74">
        <f>O27+O28</f>
        <v>0</v>
      </c>
      <c r="P29" s="76">
        <f>P27+P28</f>
        <v>0</v>
      </c>
      <c r="Q29" s="74">
        <f>Q27+Q28</f>
        <v>60</v>
      </c>
    </row>
    <row r="30" spans="1:18" ht="14.25" customHeight="1">
      <c r="A30" s="165" t="s">
        <v>47</v>
      </c>
      <c r="B30" s="168"/>
      <c r="C30" s="168"/>
      <c r="D30" s="46"/>
      <c r="E30" s="47"/>
      <c r="F30" s="48"/>
      <c r="G30" s="25">
        <v>0</v>
      </c>
      <c r="H30" s="25"/>
      <c r="I30" s="25"/>
      <c r="J30" s="26"/>
      <c r="K30" s="25"/>
      <c r="L30" s="27"/>
      <c r="M30" s="45">
        <v>0</v>
      </c>
      <c r="N30" s="25"/>
      <c r="O30" s="25"/>
      <c r="P30" s="37"/>
      <c r="Q30" s="25"/>
    </row>
    <row r="31" spans="1:18" ht="14.25" customHeight="1">
      <c r="A31" s="167"/>
      <c r="B31" s="170"/>
      <c r="C31" s="170"/>
      <c r="D31" s="49"/>
      <c r="E31" s="50"/>
      <c r="F31" s="51"/>
      <c r="G31" s="34">
        <v>0</v>
      </c>
      <c r="H31" s="34"/>
      <c r="I31" s="34"/>
      <c r="J31" s="52"/>
      <c r="K31" s="35"/>
      <c r="L31" s="41"/>
      <c r="M31" s="36"/>
      <c r="N31" s="35"/>
      <c r="O31" s="35"/>
      <c r="P31" s="37"/>
      <c r="Q31" s="35"/>
    </row>
    <row r="32" spans="1:18" ht="18" customHeight="1">
      <c r="A32" s="177" t="s">
        <v>13</v>
      </c>
      <c r="B32" s="178"/>
      <c r="C32" s="178"/>
      <c r="D32" s="53"/>
      <c r="E32" s="54"/>
      <c r="F32" s="55"/>
      <c r="G32" s="56">
        <v>0</v>
      </c>
      <c r="H32" s="56"/>
      <c r="I32" s="56"/>
      <c r="J32" s="57"/>
      <c r="K32" s="58"/>
      <c r="L32" s="59"/>
      <c r="M32" s="60"/>
      <c r="N32" s="58"/>
      <c r="O32" s="58"/>
      <c r="P32" s="57"/>
      <c r="Q32" s="58"/>
    </row>
    <row r="33" spans="1:17" ht="18" customHeight="1">
      <c r="A33" s="179" t="s">
        <v>14</v>
      </c>
      <c r="B33" s="180"/>
      <c r="C33" s="180"/>
      <c r="D33" s="61"/>
      <c r="E33" s="100"/>
      <c r="F33" s="55"/>
      <c r="G33" s="97">
        <f>(G11+G14+G17+G20+G23+G26+G29)</f>
        <v>4380</v>
      </c>
      <c r="H33" s="58"/>
      <c r="I33" s="97">
        <f>(I11+I14+I17+I20+I23+I26+I29)</f>
        <v>55</v>
      </c>
      <c r="J33" s="57">
        <f>(J11+J14+J17+J20+J23+J26+J29)</f>
        <v>4170</v>
      </c>
      <c r="K33" s="97">
        <f>(K11+K14+K17+K20+K23+K26+K29)</f>
        <v>155</v>
      </c>
      <c r="L33" s="62"/>
      <c r="M33" s="97">
        <f>(M11+M14+M17+M20+M23+M26+M29)</f>
        <v>3676</v>
      </c>
      <c r="N33" s="58"/>
      <c r="O33" s="97">
        <f>(O11+O14+O17+O20+O23+O26+O29)</f>
        <v>0</v>
      </c>
      <c r="P33" s="57">
        <f>(P11+P14+P17+P20+P23+P26+P29)</f>
        <v>3066</v>
      </c>
      <c r="Q33" s="97">
        <f>(Q11+Q14+Q17+Q20+Q23+Q26+Q29)</f>
        <v>610</v>
      </c>
    </row>
    <row r="34" spans="1:17">
      <c r="A34" s="13" t="s">
        <v>15</v>
      </c>
    </row>
  </sheetData>
  <mergeCells count="54">
    <mergeCell ref="A1:L2"/>
    <mergeCell ref="B4:C4"/>
    <mergeCell ref="E4:F4"/>
    <mergeCell ref="G4:H4"/>
    <mergeCell ref="I4:K4"/>
    <mergeCell ref="M6:Q6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G6:L6"/>
    <mergeCell ref="P7:P8"/>
    <mergeCell ref="Q7:Q8"/>
    <mergeCell ref="D6:F8"/>
    <mergeCell ref="A12:A14"/>
    <mergeCell ref="B12:C12"/>
    <mergeCell ref="B13:C13"/>
    <mergeCell ref="B14:C14"/>
    <mergeCell ref="A9:A11"/>
    <mergeCell ref="B9:C9"/>
    <mergeCell ref="B10:C10"/>
    <mergeCell ref="B11:C11"/>
    <mergeCell ref="A6:C8"/>
    <mergeCell ref="A15:A17"/>
    <mergeCell ref="B15:C15"/>
    <mergeCell ref="B16:C16"/>
    <mergeCell ref="R16:S16"/>
    <mergeCell ref="B17:C17"/>
    <mergeCell ref="A18:A20"/>
    <mergeCell ref="B18:C18"/>
    <mergeCell ref="B19:C19"/>
    <mergeCell ref="B20:C20"/>
    <mergeCell ref="A21:A23"/>
    <mergeCell ref="B21:C21"/>
    <mergeCell ref="B22:C22"/>
    <mergeCell ref="B23:C23"/>
    <mergeCell ref="A24:A26"/>
    <mergeCell ref="B24:C24"/>
    <mergeCell ref="B25:C25"/>
    <mergeCell ref="B26:C26"/>
    <mergeCell ref="A32:C32"/>
    <mergeCell ref="A33:C33"/>
    <mergeCell ref="A27:A29"/>
    <mergeCell ref="B27:C27"/>
    <mergeCell ref="B28:C28"/>
    <mergeCell ref="B29:C29"/>
    <mergeCell ref="A30:A31"/>
    <mergeCell ref="B30:C30"/>
    <mergeCell ref="B31:C31"/>
  </mergeCells>
  <phoneticPr fontId="2" type="noConversion"/>
  <printOptions horizontalCentered="1" verticalCentered="1"/>
  <pageMargins left="0.15748031496062992" right="0.15748031496062992" top="0.59055118110236227" bottom="0.39370078740157483" header="0.39370078740157483" footer="0.19685039370078741"/>
  <pageSetup paperSize="9" scale="95" orientation="landscape" r:id="rId1"/>
  <headerFooter alignWithMargins="0">
    <oddHeader>&amp;R대외비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BF48-EC31-43B2-BF4B-EA139C000081}">
  <sheetPr>
    <pageSetUpPr fitToPage="1"/>
  </sheetPr>
  <dimension ref="A1:IU34"/>
  <sheetViews>
    <sheetView showGridLines="0" view="pageLayout" zoomScaleNormal="100" workbookViewId="0">
      <selection activeCell="P7" sqref="P7:P8"/>
    </sheetView>
  </sheetViews>
  <sheetFormatPr defaultRowHeight="16.5"/>
  <cols>
    <col min="1" max="1" width="7.625" style="13" customWidth="1"/>
    <col min="2" max="3" width="4.25" style="13" customWidth="1"/>
    <col min="4" max="4" width="5.375" style="13" customWidth="1"/>
    <col min="5" max="5" width="3.125" style="13" customWidth="1"/>
    <col min="6" max="6" width="5.375" style="13" customWidth="1"/>
    <col min="7" max="17" width="10" style="13" customWidth="1"/>
    <col min="18" max="16384" width="9" style="13"/>
  </cols>
  <sheetData>
    <row r="1" spans="1:255" ht="18" customHeight="1">
      <c r="A1" s="163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2" t="s">
        <v>25</v>
      </c>
      <c r="N1" s="12" t="s">
        <v>26</v>
      </c>
      <c r="O1" s="12" t="s">
        <v>27</v>
      </c>
      <c r="P1" s="12" t="s">
        <v>28</v>
      </c>
      <c r="Q1" s="12" t="s">
        <v>29</v>
      </c>
    </row>
    <row r="2" spans="1:255" ht="39.950000000000003" customHeight="1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2"/>
      <c r="N2" s="12"/>
      <c r="O2" s="12"/>
      <c r="P2" s="12"/>
      <c r="Q2" s="12"/>
    </row>
    <row r="3" spans="1:255" ht="8.1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</row>
    <row r="4" spans="1:255" s="18" customFormat="1" ht="18" customHeight="1">
      <c r="A4" s="138" t="s">
        <v>30</v>
      </c>
      <c r="B4" s="182" t="s">
        <v>48</v>
      </c>
      <c r="C4" s="182"/>
      <c r="D4" s="14"/>
      <c r="E4" s="183" t="s">
        <v>31</v>
      </c>
      <c r="F4" s="183"/>
      <c r="G4" s="184" t="s">
        <v>32</v>
      </c>
      <c r="H4" s="184"/>
      <c r="I4" s="185" t="s">
        <v>33</v>
      </c>
      <c r="J4" s="185"/>
      <c r="K4" s="185"/>
      <c r="L4" s="16" t="s">
        <v>59</v>
      </c>
      <c r="M4" s="16"/>
      <c r="N4" s="17"/>
      <c r="O4" s="139" t="s">
        <v>34</v>
      </c>
      <c r="P4" s="16" t="s">
        <v>67</v>
      </c>
      <c r="Q4" s="15"/>
    </row>
    <row r="5" spans="1:255" s="17" customFormat="1" ht="12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</row>
    <row r="6" spans="1:255" s="21" customFormat="1" ht="12" customHeight="1">
      <c r="A6" s="146" t="s">
        <v>35</v>
      </c>
      <c r="B6" s="147"/>
      <c r="C6" s="147"/>
      <c r="D6" s="152" t="s">
        <v>1</v>
      </c>
      <c r="E6" s="152"/>
      <c r="F6" s="153"/>
      <c r="G6" s="156" t="s">
        <v>2</v>
      </c>
      <c r="H6" s="156"/>
      <c r="I6" s="156"/>
      <c r="J6" s="156"/>
      <c r="K6" s="157"/>
      <c r="L6" s="158"/>
      <c r="M6" s="159" t="s">
        <v>3</v>
      </c>
      <c r="N6" s="159"/>
      <c r="O6" s="159"/>
      <c r="P6" s="159"/>
      <c r="Q6" s="159"/>
      <c r="R6" s="20"/>
    </row>
    <row r="7" spans="1:255" s="21" customFormat="1" ht="12" customHeight="1">
      <c r="A7" s="148"/>
      <c r="B7" s="149"/>
      <c r="C7" s="149"/>
      <c r="D7" s="154"/>
      <c r="E7" s="154"/>
      <c r="F7" s="155"/>
      <c r="G7" s="141" t="s">
        <v>4</v>
      </c>
      <c r="H7" s="141" t="s">
        <v>5</v>
      </c>
      <c r="I7" s="141" t="s">
        <v>6</v>
      </c>
      <c r="J7" s="143" t="s">
        <v>7</v>
      </c>
      <c r="K7" s="141" t="s">
        <v>8</v>
      </c>
      <c r="L7" s="173" t="s">
        <v>9</v>
      </c>
      <c r="M7" s="161" t="s">
        <v>4</v>
      </c>
      <c r="N7" s="141" t="s">
        <v>5</v>
      </c>
      <c r="O7" s="141" t="s">
        <v>6</v>
      </c>
      <c r="P7" s="143" t="s">
        <v>7</v>
      </c>
      <c r="Q7" s="141" t="s">
        <v>8</v>
      </c>
    </row>
    <row r="8" spans="1:255" s="21" customFormat="1" ht="12" customHeight="1">
      <c r="A8" s="150"/>
      <c r="B8" s="151"/>
      <c r="C8" s="151"/>
      <c r="D8" s="154"/>
      <c r="E8" s="154"/>
      <c r="F8" s="155"/>
      <c r="G8" s="160"/>
      <c r="H8" s="160"/>
      <c r="I8" s="160"/>
      <c r="J8" s="144"/>
      <c r="K8" s="142"/>
      <c r="L8" s="174"/>
      <c r="M8" s="162"/>
      <c r="N8" s="142"/>
      <c r="O8" s="142"/>
      <c r="P8" s="144"/>
      <c r="Q8" s="142"/>
    </row>
    <row r="9" spans="1:255" ht="14.25" customHeight="1">
      <c r="A9" s="166" t="s">
        <v>36</v>
      </c>
      <c r="B9" s="171" t="s">
        <v>10</v>
      </c>
      <c r="C9" s="171"/>
      <c r="D9" s="22">
        <f>D12+7</f>
        <v>46392</v>
      </c>
      <c r="E9" s="23" t="s">
        <v>11</v>
      </c>
      <c r="F9" s="24">
        <f>D9+2</f>
        <v>46394</v>
      </c>
      <c r="G9" s="63">
        <v>1008</v>
      </c>
      <c r="H9" s="64"/>
      <c r="I9" s="63"/>
      <c r="J9" s="65">
        <f>G9-(I9+K9)</f>
        <v>1008</v>
      </c>
      <c r="K9" s="66"/>
      <c r="L9" s="67"/>
      <c r="M9" s="66">
        <v>606</v>
      </c>
      <c r="N9" s="63"/>
      <c r="O9" s="68"/>
      <c r="P9" s="65">
        <f>M9-(O9+Q9)</f>
        <v>606</v>
      </c>
      <c r="Q9" s="66"/>
    </row>
    <row r="10" spans="1:255" ht="14.25" customHeight="1">
      <c r="A10" s="166"/>
      <c r="B10" s="169" t="s">
        <v>12</v>
      </c>
      <c r="C10" s="169"/>
      <c r="D10" s="28">
        <f>D9+3</f>
        <v>46395</v>
      </c>
      <c r="E10" s="29" t="s">
        <v>11</v>
      </c>
      <c r="F10" s="30">
        <f>D10+2</f>
        <v>46397</v>
      </c>
      <c r="G10" s="69">
        <v>384</v>
      </c>
      <c r="H10" s="70"/>
      <c r="I10" s="69"/>
      <c r="J10" s="65">
        <f>G10-(I10+K10)</f>
        <v>384</v>
      </c>
      <c r="K10" s="71"/>
      <c r="L10" s="72"/>
      <c r="M10" s="71">
        <v>368</v>
      </c>
      <c r="N10" s="69"/>
      <c r="O10" s="73"/>
      <c r="P10" s="65">
        <f>M10-(O10+Q10)</f>
        <v>368</v>
      </c>
      <c r="Q10" s="71"/>
    </row>
    <row r="11" spans="1:255" ht="14.25" customHeight="1">
      <c r="A11" s="166"/>
      <c r="B11" s="172"/>
      <c r="C11" s="172"/>
      <c r="D11" s="31">
        <f>D9</f>
        <v>46392</v>
      </c>
      <c r="E11" s="32" t="s">
        <v>11</v>
      </c>
      <c r="F11" s="33">
        <f>F10</f>
        <v>46397</v>
      </c>
      <c r="G11" s="74">
        <f>G9+G10</f>
        <v>1392</v>
      </c>
      <c r="H11" s="75"/>
      <c r="I11" s="74">
        <f>I9+I10</f>
        <v>0</v>
      </c>
      <c r="J11" s="76">
        <f>J9+J10</f>
        <v>1392</v>
      </c>
      <c r="K11" s="77">
        <f>K9+K10</f>
        <v>0</v>
      </c>
      <c r="L11" s="78"/>
      <c r="M11" s="74">
        <f>M9+M10</f>
        <v>974</v>
      </c>
      <c r="N11" s="77"/>
      <c r="O11" s="74">
        <f>O9+O10</f>
        <v>0</v>
      </c>
      <c r="P11" s="76">
        <f>P9+P10</f>
        <v>974</v>
      </c>
      <c r="Q11" s="77">
        <f>Q9+Q10</f>
        <v>0</v>
      </c>
    </row>
    <row r="12" spans="1:255" ht="14.25" customHeight="1">
      <c r="A12" s="165" t="s">
        <v>57</v>
      </c>
      <c r="B12" s="168" t="s">
        <v>10</v>
      </c>
      <c r="C12" s="168"/>
      <c r="D12" s="22">
        <f>D15+7</f>
        <v>46385</v>
      </c>
      <c r="E12" s="23" t="s">
        <v>11</v>
      </c>
      <c r="F12" s="24">
        <f>D12+2</f>
        <v>46387</v>
      </c>
      <c r="G12" s="63">
        <v>1026</v>
      </c>
      <c r="H12" s="64"/>
      <c r="I12" s="63"/>
      <c r="J12" s="79">
        <f>G12-(I12+K12)</f>
        <v>1026</v>
      </c>
      <c r="K12" s="63"/>
      <c r="L12" s="132"/>
      <c r="M12" s="66">
        <v>746</v>
      </c>
      <c r="N12" s="63"/>
      <c r="O12" s="63"/>
      <c r="P12" s="79">
        <f>M12-(O12+Q12)</f>
        <v>746</v>
      </c>
      <c r="Q12" s="63"/>
      <c r="R12" s="135"/>
    </row>
    <row r="13" spans="1:255" ht="14.25" customHeight="1">
      <c r="A13" s="166"/>
      <c r="B13" s="169" t="s">
        <v>12</v>
      </c>
      <c r="C13" s="169"/>
      <c r="D13" s="28">
        <f>D12+3</f>
        <v>46388</v>
      </c>
      <c r="E13" s="29" t="s">
        <v>11</v>
      </c>
      <c r="F13" s="30">
        <f>D13+2</f>
        <v>46390</v>
      </c>
      <c r="G13" s="69">
        <v>448</v>
      </c>
      <c r="H13" s="70"/>
      <c r="I13" s="69"/>
      <c r="J13" s="65">
        <f>G13-(I13+K13)</f>
        <v>448</v>
      </c>
      <c r="K13" s="69"/>
      <c r="L13" s="67"/>
      <c r="M13" s="71">
        <v>512</v>
      </c>
      <c r="N13" s="69"/>
      <c r="O13" s="69"/>
      <c r="P13" s="65">
        <f>M13-(O13+Q13)</f>
        <v>512</v>
      </c>
      <c r="Q13" s="69"/>
      <c r="R13" s="134"/>
    </row>
    <row r="14" spans="1:255" ht="14.25" customHeight="1">
      <c r="A14" s="167"/>
      <c r="B14" s="170"/>
      <c r="C14" s="170"/>
      <c r="D14" s="38">
        <f>D12</f>
        <v>46385</v>
      </c>
      <c r="E14" s="39" t="s">
        <v>11</v>
      </c>
      <c r="F14" s="40">
        <f>F13</f>
        <v>46390</v>
      </c>
      <c r="G14" s="74">
        <v>1474</v>
      </c>
      <c r="H14" s="75"/>
      <c r="I14" s="74">
        <f>I12+I13</f>
        <v>0</v>
      </c>
      <c r="J14" s="76">
        <f>J12+J13</f>
        <v>1474</v>
      </c>
      <c r="K14" s="74">
        <f>K12+K13</f>
        <v>0</v>
      </c>
      <c r="L14" s="81"/>
      <c r="M14" s="74">
        <v>1258</v>
      </c>
      <c r="N14" s="74"/>
      <c r="O14" s="74">
        <f>O12+O13</f>
        <v>0</v>
      </c>
      <c r="P14" s="76">
        <f>P12+P13</f>
        <v>1258</v>
      </c>
      <c r="Q14" s="74">
        <f>Q12+Q13</f>
        <v>0</v>
      </c>
    </row>
    <row r="15" spans="1:255" ht="14.25" customHeight="1">
      <c r="A15" s="166" t="s">
        <v>58</v>
      </c>
      <c r="B15" s="171" t="s">
        <v>10</v>
      </c>
      <c r="C15" s="171"/>
      <c r="D15" s="42">
        <f>D18+7</f>
        <v>46378</v>
      </c>
      <c r="E15" s="43" t="s">
        <v>11</v>
      </c>
      <c r="F15" s="44">
        <f>D15+2</f>
        <v>46380</v>
      </c>
      <c r="G15" s="82">
        <v>528</v>
      </c>
      <c r="H15" s="83"/>
      <c r="I15" s="63"/>
      <c r="J15" s="79">
        <f>G15-(I15+K15)</f>
        <v>528</v>
      </c>
      <c r="K15" s="84"/>
      <c r="L15" s="132"/>
      <c r="M15" s="85">
        <v>150</v>
      </c>
      <c r="N15" s="84"/>
      <c r="O15" s="84"/>
      <c r="P15" s="79">
        <f>M15-(O15+Q15)</f>
        <v>150</v>
      </c>
      <c r="Q15" s="84"/>
      <c r="R15" s="131"/>
    </row>
    <row r="16" spans="1:255" ht="14.25" customHeight="1">
      <c r="A16" s="166"/>
      <c r="B16" s="169" t="s">
        <v>12</v>
      </c>
      <c r="C16" s="169"/>
      <c r="D16" s="28">
        <f>D15+3</f>
        <v>46381</v>
      </c>
      <c r="E16" s="29" t="s">
        <v>11</v>
      </c>
      <c r="F16" s="30">
        <f>D16+2</f>
        <v>46383</v>
      </c>
      <c r="G16" s="86">
        <v>432</v>
      </c>
      <c r="H16" s="70"/>
      <c r="I16" s="69"/>
      <c r="J16" s="65">
        <f>G16-(I16+K16)</f>
        <v>432</v>
      </c>
      <c r="K16" s="69"/>
      <c r="L16" s="87"/>
      <c r="M16" s="71">
        <v>380</v>
      </c>
      <c r="N16" s="69"/>
      <c r="O16" s="69"/>
      <c r="P16" s="65">
        <f>M16-(O16+Q16)</f>
        <v>380</v>
      </c>
      <c r="Q16" s="69"/>
      <c r="R16" s="181"/>
      <c r="S16" s="181"/>
    </row>
    <row r="17" spans="1:18" ht="14.25" customHeight="1">
      <c r="A17" s="166"/>
      <c r="B17" s="172"/>
      <c r="C17" s="172"/>
      <c r="D17" s="31">
        <f>D15</f>
        <v>46378</v>
      </c>
      <c r="E17" s="32" t="s">
        <v>11</v>
      </c>
      <c r="F17" s="33">
        <f>F16</f>
        <v>46383</v>
      </c>
      <c r="G17" s="88">
        <v>960</v>
      </c>
      <c r="H17" s="75"/>
      <c r="I17" s="74">
        <f>I15+I16</f>
        <v>0</v>
      </c>
      <c r="J17" s="76">
        <f>J15+J16</f>
        <v>960</v>
      </c>
      <c r="K17" s="74">
        <f>K15+K16</f>
        <v>0</v>
      </c>
      <c r="L17" s="81"/>
      <c r="M17" s="74">
        <v>530</v>
      </c>
      <c r="N17" s="77"/>
      <c r="O17" s="74">
        <f>O15+O16</f>
        <v>0</v>
      </c>
      <c r="P17" s="76">
        <f>P15+P16</f>
        <v>530</v>
      </c>
      <c r="Q17" s="77">
        <f>Q15+Q16</f>
        <v>0</v>
      </c>
    </row>
    <row r="18" spans="1:18" ht="14.25" customHeight="1">
      <c r="A18" s="165" t="s">
        <v>38</v>
      </c>
      <c r="B18" s="168" t="s">
        <v>10</v>
      </c>
      <c r="C18" s="168"/>
      <c r="D18" s="22">
        <f>D21+7</f>
        <v>46371</v>
      </c>
      <c r="E18" s="23" t="s">
        <v>11</v>
      </c>
      <c r="F18" s="24">
        <f>D18+2</f>
        <v>46373</v>
      </c>
      <c r="G18" s="86">
        <v>0</v>
      </c>
      <c r="H18" s="64"/>
      <c r="I18" s="63"/>
      <c r="J18" s="79">
        <f>G18-(I18+K18)</f>
        <v>0</v>
      </c>
      <c r="K18" s="63"/>
      <c r="L18" s="136"/>
      <c r="M18" s="66">
        <v>0</v>
      </c>
      <c r="N18" s="63"/>
      <c r="O18" s="63"/>
      <c r="P18" s="79">
        <f>M18-(O18+Q18)</f>
        <v>0</v>
      </c>
      <c r="Q18" s="63"/>
      <c r="R18" s="131"/>
    </row>
    <row r="19" spans="1:18" ht="14.25" customHeight="1">
      <c r="A19" s="166"/>
      <c r="B19" s="169" t="s">
        <v>12</v>
      </c>
      <c r="C19" s="169"/>
      <c r="D19" s="28">
        <f>D18+3</f>
        <v>46374</v>
      </c>
      <c r="E19" s="29" t="s">
        <v>11</v>
      </c>
      <c r="F19" s="30">
        <f>D19+2</f>
        <v>46376</v>
      </c>
      <c r="G19" s="86">
        <v>380</v>
      </c>
      <c r="H19" s="70"/>
      <c r="I19" s="84"/>
      <c r="J19" s="65">
        <f>G19-(I19+K19)</f>
        <v>380</v>
      </c>
      <c r="K19" s="69"/>
      <c r="L19" s="133"/>
      <c r="M19" s="71">
        <v>200</v>
      </c>
      <c r="N19" s="69"/>
      <c r="O19" s="69"/>
      <c r="P19" s="65">
        <f>M19-(O19+Q19)</f>
        <v>200</v>
      </c>
      <c r="Q19" s="69"/>
      <c r="R19" s="131"/>
    </row>
    <row r="20" spans="1:18" ht="14.25" customHeight="1">
      <c r="A20" s="167"/>
      <c r="B20" s="170"/>
      <c r="C20" s="170"/>
      <c r="D20" s="38">
        <f>D18</f>
        <v>46371</v>
      </c>
      <c r="E20" s="39" t="s">
        <v>11</v>
      </c>
      <c r="F20" s="40">
        <f>F19</f>
        <v>46376</v>
      </c>
      <c r="G20" s="88">
        <v>380</v>
      </c>
      <c r="H20" s="75"/>
      <c r="I20" s="77">
        <f>I18+I19</f>
        <v>0</v>
      </c>
      <c r="J20" s="76">
        <f>J18+J19</f>
        <v>380</v>
      </c>
      <c r="K20" s="74">
        <f>K18+K19</f>
        <v>0</v>
      </c>
      <c r="L20" s="81"/>
      <c r="M20" s="74">
        <v>200</v>
      </c>
      <c r="N20" s="74"/>
      <c r="O20" s="74">
        <f>O18+O19</f>
        <v>0</v>
      </c>
      <c r="P20" s="76">
        <f>P18+P19</f>
        <v>200</v>
      </c>
      <c r="Q20" s="74">
        <f>Q18+Q19</f>
        <v>0</v>
      </c>
    </row>
    <row r="21" spans="1:18" ht="14.25" customHeight="1">
      <c r="A21" s="166" t="s">
        <v>51</v>
      </c>
      <c r="B21" s="171" t="s">
        <v>10</v>
      </c>
      <c r="C21" s="171"/>
      <c r="D21" s="42">
        <f>D24+7</f>
        <v>46364</v>
      </c>
      <c r="E21" s="43" t="s">
        <v>11</v>
      </c>
      <c r="F21" s="44">
        <f>D21+2</f>
        <v>46366</v>
      </c>
      <c r="G21" s="82">
        <v>0</v>
      </c>
      <c r="H21" s="89" t="s">
        <v>39</v>
      </c>
      <c r="I21" s="63"/>
      <c r="J21" s="79">
        <f>G21-(I21+K21)</f>
        <v>0</v>
      </c>
      <c r="K21" s="63"/>
      <c r="L21" s="132"/>
      <c r="M21" s="68">
        <v>0</v>
      </c>
      <c r="N21" s="63"/>
      <c r="O21" s="63"/>
      <c r="P21" s="79">
        <f>M21-(O21+Q21)</f>
        <v>0</v>
      </c>
      <c r="Q21" s="63"/>
      <c r="R21" s="131"/>
    </row>
    <row r="22" spans="1:18" ht="14.25" customHeight="1">
      <c r="A22" s="166"/>
      <c r="B22" s="169" t="s">
        <v>12</v>
      </c>
      <c r="C22" s="169"/>
      <c r="D22" s="28">
        <f>D21+3</f>
        <v>46367</v>
      </c>
      <c r="E22" s="29" t="s">
        <v>11</v>
      </c>
      <c r="F22" s="30">
        <f>D22+2</f>
        <v>46369</v>
      </c>
      <c r="G22" s="86">
        <v>140</v>
      </c>
      <c r="H22" s="90" t="s">
        <v>40</v>
      </c>
      <c r="I22" s="69"/>
      <c r="J22" s="65">
        <f>G22-(I22+K22)</f>
        <v>140</v>
      </c>
      <c r="K22" s="69"/>
      <c r="L22" s="87"/>
      <c r="M22" s="71">
        <v>190</v>
      </c>
      <c r="N22" s="69"/>
      <c r="O22" s="69"/>
      <c r="P22" s="65">
        <f>M22-(O22+Q22)</f>
        <v>190</v>
      </c>
      <c r="Q22" s="69"/>
      <c r="R22" s="131"/>
    </row>
    <row r="23" spans="1:18" ht="14.25" customHeight="1">
      <c r="A23" s="166"/>
      <c r="B23" s="172"/>
      <c r="C23" s="172"/>
      <c r="D23" s="31">
        <f>D21</f>
        <v>46364</v>
      </c>
      <c r="E23" s="32" t="s">
        <v>11</v>
      </c>
      <c r="F23" s="33">
        <f>F22</f>
        <v>46369</v>
      </c>
      <c r="G23" s="88">
        <v>140</v>
      </c>
      <c r="H23" s="90" t="s">
        <v>41</v>
      </c>
      <c r="I23" s="77">
        <f>I21+I22</f>
        <v>0</v>
      </c>
      <c r="J23" s="76">
        <f>J21+J22</f>
        <v>140</v>
      </c>
      <c r="K23" s="74">
        <f>K21+K22</f>
        <v>0</v>
      </c>
      <c r="L23" s="81"/>
      <c r="M23" s="74">
        <v>190</v>
      </c>
      <c r="N23" s="74"/>
      <c r="O23" s="74">
        <f>O21+O22</f>
        <v>0</v>
      </c>
      <c r="P23" s="76">
        <f>P21+P22</f>
        <v>190</v>
      </c>
      <c r="Q23" s="74">
        <f>Q21+Q22</f>
        <v>0</v>
      </c>
    </row>
    <row r="24" spans="1:18" ht="14.25" customHeight="1">
      <c r="A24" s="165" t="s">
        <v>42</v>
      </c>
      <c r="B24" s="168" t="s">
        <v>10</v>
      </c>
      <c r="C24" s="168"/>
      <c r="D24" s="22">
        <f>D27+7</f>
        <v>46357</v>
      </c>
      <c r="E24" s="23" t="s">
        <v>11</v>
      </c>
      <c r="F24" s="24">
        <f>D24+2</f>
        <v>46359</v>
      </c>
      <c r="G24" s="91">
        <v>0</v>
      </c>
      <c r="H24" s="89" t="s">
        <v>43</v>
      </c>
      <c r="I24" s="63"/>
      <c r="J24" s="79">
        <f>G24-(I24+K24)</f>
        <v>0</v>
      </c>
      <c r="K24" s="84"/>
      <c r="L24" s="132"/>
      <c r="M24" s="85">
        <v>0</v>
      </c>
      <c r="N24" s="84"/>
      <c r="O24" s="84"/>
      <c r="P24" s="79">
        <f>M24-(O24+Q24)</f>
        <v>0</v>
      </c>
      <c r="Q24" s="84"/>
    </row>
    <row r="25" spans="1:18" ht="14.25" customHeight="1">
      <c r="A25" s="166"/>
      <c r="B25" s="169" t="s">
        <v>12</v>
      </c>
      <c r="C25" s="169"/>
      <c r="D25" s="28">
        <f>D24+3</f>
        <v>46360</v>
      </c>
      <c r="E25" s="29" t="s">
        <v>11</v>
      </c>
      <c r="F25" s="30">
        <f>D25+2</f>
        <v>46362</v>
      </c>
      <c r="G25" s="92">
        <v>0</v>
      </c>
      <c r="H25" s="90" t="s">
        <v>44</v>
      </c>
      <c r="I25" s="69"/>
      <c r="J25" s="65">
        <f>G25-(I25+K25)</f>
        <v>0</v>
      </c>
      <c r="K25" s="84"/>
      <c r="L25" s="87"/>
      <c r="M25" s="71">
        <v>58</v>
      </c>
      <c r="N25" s="69"/>
      <c r="O25" s="69"/>
      <c r="P25" s="65">
        <f>M25-(O25+Q25)</f>
        <v>58</v>
      </c>
      <c r="Q25" s="69"/>
      <c r="R25" s="131"/>
    </row>
    <row r="26" spans="1:18" ht="14.25" customHeight="1">
      <c r="A26" s="167"/>
      <c r="B26" s="170"/>
      <c r="C26" s="170"/>
      <c r="D26" s="38">
        <f>D24</f>
        <v>46357</v>
      </c>
      <c r="E26" s="39" t="s">
        <v>11</v>
      </c>
      <c r="F26" s="40">
        <f>F25</f>
        <v>46362</v>
      </c>
      <c r="G26" s="88">
        <v>0</v>
      </c>
      <c r="H26" s="90" t="s">
        <v>45</v>
      </c>
      <c r="I26" s="77">
        <f>I24+I25</f>
        <v>0</v>
      </c>
      <c r="J26" s="76">
        <f>J24+J25</f>
        <v>0</v>
      </c>
      <c r="K26" s="77">
        <f>K24+K25</f>
        <v>0</v>
      </c>
      <c r="L26" s="93"/>
      <c r="M26" s="74">
        <v>58</v>
      </c>
      <c r="N26" s="69"/>
      <c r="O26" s="74">
        <f>O24+O25</f>
        <v>0</v>
      </c>
      <c r="P26" s="76">
        <f>P24+P25</f>
        <v>58</v>
      </c>
      <c r="Q26" s="74">
        <f>Q24+Q25</f>
        <v>0</v>
      </c>
    </row>
    <row r="27" spans="1:18" ht="14.25" customHeight="1">
      <c r="A27" s="166" t="s">
        <v>46</v>
      </c>
      <c r="B27" s="171" t="s">
        <v>10</v>
      </c>
      <c r="C27" s="171"/>
      <c r="D27" s="42">
        <v>46350</v>
      </c>
      <c r="E27" s="43" t="s">
        <v>11</v>
      </c>
      <c r="F27" s="44">
        <f>D27+2</f>
        <v>46352</v>
      </c>
      <c r="G27" s="82">
        <v>0</v>
      </c>
      <c r="H27" s="89"/>
      <c r="I27" s="63"/>
      <c r="J27" s="79">
        <f>G27-(I27+K27)</f>
        <v>0</v>
      </c>
      <c r="K27" s="63"/>
      <c r="L27" s="80"/>
      <c r="M27" s="85">
        <v>0</v>
      </c>
      <c r="N27" s="63"/>
      <c r="O27" s="63"/>
      <c r="P27" s="65">
        <f>M27-(O27+Q27)</f>
        <v>0</v>
      </c>
      <c r="Q27" s="63"/>
    </row>
    <row r="28" spans="1:18" ht="14.25" customHeight="1">
      <c r="A28" s="166"/>
      <c r="B28" s="169" t="s">
        <v>12</v>
      </c>
      <c r="C28" s="169"/>
      <c r="D28" s="28">
        <f>D27+3</f>
        <v>46353</v>
      </c>
      <c r="E28" s="29" t="s">
        <v>11</v>
      </c>
      <c r="F28" s="30">
        <f>D28+2</f>
        <v>46355</v>
      </c>
      <c r="G28" s="94">
        <v>0</v>
      </c>
      <c r="H28" s="90"/>
      <c r="I28" s="69"/>
      <c r="J28" s="65">
        <f>G28-(I28+K28)</f>
        <v>0</v>
      </c>
      <c r="K28" s="69"/>
      <c r="L28" s="87"/>
      <c r="M28" s="71">
        <v>0</v>
      </c>
      <c r="N28" s="69"/>
      <c r="O28" s="69"/>
      <c r="P28" s="65">
        <f>M28-(O28+Q28)</f>
        <v>0</v>
      </c>
      <c r="Q28" s="69"/>
      <c r="R28" s="21"/>
    </row>
    <row r="29" spans="1:18" ht="14.25" customHeight="1">
      <c r="A29" s="166"/>
      <c r="B29" s="172"/>
      <c r="C29" s="172"/>
      <c r="D29" s="31">
        <f>D27</f>
        <v>46350</v>
      </c>
      <c r="E29" s="32" t="s">
        <v>11</v>
      </c>
      <c r="F29" s="33">
        <f>F28</f>
        <v>46355</v>
      </c>
      <c r="G29" s="74">
        <v>0</v>
      </c>
      <c r="H29" s="95"/>
      <c r="I29" s="74">
        <f>I27+I28</f>
        <v>0</v>
      </c>
      <c r="J29" s="76">
        <f>J27+J28</f>
        <v>0</v>
      </c>
      <c r="K29" s="74">
        <f>K27+K28</f>
        <v>0</v>
      </c>
      <c r="L29" s="96"/>
      <c r="M29" s="74">
        <v>0</v>
      </c>
      <c r="N29" s="74"/>
      <c r="O29" s="74">
        <f>O27+O28</f>
        <v>0</v>
      </c>
      <c r="P29" s="76">
        <f>P27+P28</f>
        <v>0</v>
      </c>
      <c r="Q29" s="74">
        <f>Q27+Q28</f>
        <v>0</v>
      </c>
    </row>
    <row r="30" spans="1:18" ht="14.25" customHeight="1">
      <c r="A30" s="165" t="s">
        <v>47</v>
      </c>
      <c r="B30" s="168"/>
      <c r="C30" s="168"/>
      <c r="D30" s="46"/>
      <c r="E30" s="47"/>
      <c r="F30" s="48"/>
      <c r="G30" s="25"/>
      <c r="H30" s="25"/>
      <c r="I30" s="25"/>
      <c r="J30" s="26"/>
      <c r="K30" s="25"/>
      <c r="L30" s="27"/>
      <c r="M30" s="45">
        <v>0</v>
      </c>
      <c r="N30" s="25"/>
      <c r="O30" s="25"/>
      <c r="P30" s="37"/>
      <c r="Q30" s="25"/>
    </row>
    <row r="31" spans="1:18" ht="14.25" customHeight="1">
      <c r="A31" s="167"/>
      <c r="B31" s="170"/>
      <c r="C31" s="170"/>
      <c r="D31" s="49"/>
      <c r="E31" s="50"/>
      <c r="F31" s="51"/>
      <c r="G31" s="34">
        <v>0</v>
      </c>
      <c r="H31" s="34"/>
      <c r="I31" s="34"/>
      <c r="J31" s="52"/>
      <c r="K31" s="35"/>
      <c r="L31" s="41"/>
      <c r="M31" s="36"/>
      <c r="N31" s="35"/>
      <c r="O31" s="35"/>
      <c r="P31" s="37"/>
      <c r="Q31" s="35"/>
    </row>
    <row r="32" spans="1:18" ht="18" customHeight="1">
      <c r="A32" s="177" t="s">
        <v>13</v>
      </c>
      <c r="B32" s="178"/>
      <c r="C32" s="178"/>
      <c r="D32" s="53"/>
      <c r="E32" s="54"/>
      <c r="F32" s="55"/>
      <c r="G32" s="56">
        <v>0</v>
      </c>
      <c r="H32" s="56"/>
      <c r="I32" s="56"/>
      <c r="J32" s="57"/>
      <c r="K32" s="58"/>
      <c r="L32" s="59"/>
      <c r="M32" s="60"/>
      <c r="N32" s="58"/>
      <c r="O32" s="58"/>
      <c r="P32" s="57"/>
      <c r="Q32" s="58"/>
    </row>
    <row r="33" spans="1:17" ht="18" customHeight="1">
      <c r="A33" s="179" t="s">
        <v>14</v>
      </c>
      <c r="B33" s="180"/>
      <c r="C33" s="180"/>
      <c r="D33" s="61"/>
      <c r="E33" s="100"/>
      <c r="F33" s="55"/>
      <c r="G33" s="97">
        <f>(G11+G14+G17+G20+G23+G26+G29)</f>
        <v>4346</v>
      </c>
      <c r="H33" s="58"/>
      <c r="I33" s="97">
        <f>(I11+I14+I17+I20+I23+I26+I29)</f>
        <v>0</v>
      </c>
      <c r="J33" s="57">
        <f>(J11+J14+J17+J20+J23+J26+J29)</f>
        <v>4346</v>
      </c>
      <c r="K33" s="97">
        <f>(K11+K14+K17+K20+K23+K26+K29)</f>
        <v>0</v>
      </c>
      <c r="L33" s="62"/>
      <c r="M33" s="97">
        <f>(M11+M14+M17+M20+M23+M26+M29)</f>
        <v>3210</v>
      </c>
      <c r="N33" s="58"/>
      <c r="O33" s="97">
        <f>(O11+O14+O17+O20+O23+O26+O29)</f>
        <v>0</v>
      </c>
      <c r="P33" s="57">
        <f>(P11+P14+P17+P20+P23+P26+P29)</f>
        <v>3210</v>
      </c>
      <c r="Q33" s="97">
        <f>(Q11+Q14+Q17+Q20+Q23+Q26+Q29)</f>
        <v>0</v>
      </c>
    </row>
    <row r="34" spans="1:17">
      <c r="A34" s="13" t="s">
        <v>15</v>
      </c>
    </row>
  </sheetData>
  <mergeCells count="54">
    <mergeCell ref="A1:L2"/>
    <mergeCell ref="B4:C4"/>
    <mergeCell ref="E4:F4"/>
    <mergeCell ref="G4:H4"/>
    <mergeCell ref="I4:K4"/>
    <mergeCell ref="M6:Q6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G6:L6"/>
    <mergeCell ref="P7:P8"/>
    <mergeCell ref="Q7:Q8"/>
    <mergeCell ref="D6:F8"/>
    <mergeCell ref="A12:A14"/>
    <mergeCell ref="B12:C12"/>
    <mergeCell ref="B13:C13"/>
    <mergeCell ref="B14:C14"/>
    <mergeCell ref="A9:A11"/>
    <mergeCell ref="B9:C9"/>
    <mergeCell ref="B10:C10"/>
    <mergeCell ref="B11:C11"/>
    <mergeCell ref="A6:C8"/>
    <mergeCell ref="A15:A17"/>
    <mergeCell ref="B15:C15"/>
    <mergeCell ref="B16:C16"/>
    <mergeCell ref="R16:S16"/>
    <mergeCell ref="B17:C17"/>
    <mergeCell ref="A18:A20"/>
    <mergeCell ref="B18:C18"/>
    <mergeCell ref="B19:C19"/>
    <mergeCell ref="B20:C20"/>
    <mergeCell ref="A21:A23"/>
    <mergeCell ref="B21:C21"/>
    <mergeCell ref="B22:C22"/>
    <mergeCell ref="B23:C23"/>
    <mergeCell ref="A24:A26"/>
    <mergeCell ref="B24:C24"/>
    <mergeCell ref="B25:C25"/>
    <mergeCell ref="B26:C26"/>
    <mergeCell ref="A32:C32"/>
    <mergeCell ref="A33:C33"/>
    <mergeCell ref="A27:A29"/>
    <mergeCell ref="B27:C27"/>
    <mergeCell ref="B28:C28"/>
    <mergeCell ref="B29:C29"/>
    <mergeCell ref="A30:A31"/>
    <mergeCell ref="B30:C30"/>
    <mergeCell ref="B31:C31"/>
  </mergeCells>
  <phoneticPr fontId="2" type="noConversion"/>
  <printOptions horizontalCentered="1" verticalCentered="1"/>
  <pageMargins left="0.15748031496062992" right="0.15748031496062992" top="0.59055118110236227" bottom="0.39370078740157483" header="0.39370078740157483" footer="0.19685039370078741"/>
  <pageSetup paperSize="9" scale="95" orientation="landscape" r:id="rId1"/>
  <headerFooter alignWithMargins="0">
    <oddHeader xml:space="preserve">&amp;R대외비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6B5B-DABC-4EE3-A369-7BEC3D41BEB8}">
  <sheetPr>
    <pageSetUpPr fitToPage="1"/>
  </sheetPr>
  <dimension ref="A1:IU34"/>
  <sheetViews>
    <sheetView showGridLines="0" view="pageLayout" zoomScaleNormal="100" workbookViewId="0">
      <selection activeCell="P9" sqref="P9"/>
    </sheetView>
  </sheetViews>
  <sheetFormatPr defaultRowHeight="16.5"/>
  <cols>
    <col min="1" max="1" width="7.625" style="13" customWidth="1"/>
    <col min="2" max="3" width="4.25" style="13" customWidth="1"/>
    <col min="4" max="4" width="5.375" style="13" customWidth="1"/>
    <col min="5" max="5" width="3.125" style="13" customWidth="1"/>
    <col min="6" max="6" width="5.375" style="13" customWidth="1"/>
    <col min="7" max="17" width="10" style="13" customWidth="1"/>
    <col min="18" max="16384" width="9" style="13"/>
  </cols>
  <sheetData>
    <row r="1" spans="1:255" ht="18" customHeight="1">
      <c r="A1" s="163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4"/>
      <c r="M1" s="12" t="s">
        <v>25</v>
      </c>
      <c r="N1" s="12" t="s">
        <v>26</v>
      </c>
      <c r="O1" s="12" t="s">
        <v>27</v>
      </c>
      <c r="P1" s="12" t="s">
        <v>28</v>
      </c>
      <c r="Q1" s="12" t="s">
        <v>29</v>
      </c>
    </row>
    <row r="2" spans="1:255" ht="39.950000000000003" customHeight="1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4"/>
      <c r="M2" s="12"/>
      <c r="N2" s="12"/>
      <c r="O2" s="12"/>
      <c r="P2" s="12"/>
      <c r="Q2" s="12"/>
    </row>
    <row r="3" spans="1:255" ht="8.1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</row>
    <row r="4" spans="1:255" s="18" customFormat="1" ht="18" customHeight="1">
      <c r="A4" s="138" t="s">
        <v>30</v>
      </c>
      <c r="B4" s="182" t="s">
        <v>48</v>
      </c>
      <c r="C4" s="182"/>
      <c r="D4" s="14"/>
      <c r="E4" s="183" t="s">
        <v>31</v>
      </c>
      <c r="F4" s="183"/>
      <c r="G4" s="184" t="s">
        <v>32</v>
      </c>
      <c r="H4" s="184"/>
      <c r="I4" s="185" t="s">
        <v>33</v>
      </c>
      <c r="J4" s="185"/>
      <c r="K4" s="185"/>
      <c r="L4" s="16" t="s">
        <v>59</v>
      </c>
      <c r="M4" s="16"/>
      <c r="N4" s="17"/>
      <c r="O4" s="139" t="s">
        <v>34</v>
      </c>
      <c r="P4" s="16" t="s">
        <v>68</v>
      </c>
      <c r="Q4" s="15"/>
    </row>
    <row r="5" spans="1:255" s="17" customFormat="1" ht="12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</row>
    <row r="6" spans="1:255" s="21" customFormat="1" ht="12" customHeight="1">
      <c r="A6" s="197" t="s">
        <v>35</v>
      </c>
      <c r="B6" s="198"/>
      <c r="C6" s="199"/>
      <c r="D6" s="190" t="s">
        <v>1</v>
      </c>
      <c r="E6" s="191"/>
      <c r="F6" s="192"/>
      <c r="G6" s="207" t="s">
        <v>2</v>
      </c>
      <c r="H6" s="203"/>
      <c r="I6" s="203"/>
      <c r="J6" s="203"/>
      <c r="K6" s="203"/>
      <c r="L6" s="208"/>
      <c r="M6" s="202" t="s">
        <v>3</v>
      </c>
      <c r="N6" s="203"/>
      <c r="O6" s="203"/>
      <c r="P6" s="203"/>
      <c r="Q6" s="204"/>
      <c r="R6" s="20"/>
    </row>
    <row r="7" spans="1:255" s="21" customFormat="1" ht="12" customHeight="1">
      <c r="A7" s="148"/>
      <c r="B7" s="149"/>
      <c r="C7" s="200"/>
      <c r="D7" s="193"/>
      <c r="E7" s="159"/>
      <c r="F7" s="162"/>
      <c r="G7" s="141" t="s">
        <v>4</v>
      </c>
      <c r="H7" s="141" t="s">
        <v>5</v>
      </c>
      <c r="I7" s="141" t="s">
        <v>6</v>
      </c>
      <c r="J7" s="143" t="s">
        <v>7</v>
      </c>
      <c r="K7" s="141" t="s">
        <v>8</v>
      </c>
      <c r="L7" s="173" t="s">
        <v>9</v>
      </c>
      <c r="M7" s="205" t="s">
        <v>4</v>
      </c>
      <c r="N7" s="141" t="s">
        <v>5</v>
      </c>
      <c r="O7" s="141" t="s">
        <v>6</v>
      </c>
      <c r="P7" s="143" t="s">
        <v>7</v>
      </c>
      <c r="Q7" s="141" t="s">
        <v>8</v>
      </c>
    </row>
    <row r="8" spans="1:255" s="21" customFormat="1" ht="12" customHeight="1">
      <c r="A8" s="150"/>
      <c r="B8" s="151"/>
      <c r="C8" s="201"/>
      <c r="D8" s="194"/>
      <c r="E8" s="195"/>
      <c r="F8" s="196"/>
      <c r="G8" s="160"/>
      <c r="H8" s="160"/>
      <c r="I8" s="160"/>
      <c r="J8" s="144"/>
      <c r="K8" s="160"/>
      <c r="L8" s="174"/>
      <c r="M8" s="206"/>
      <c r="N8" s="160"/>
      <c r="O8" s="160"/>
      <c r="P8" s="144"/>
      <c r="Q8" s="160"/>
    </row>
    <row r="9" spans="1:255" ht="14.25" customHeight="1">
      <c r="A9" s="165" t="s">
        <v>36</v>
      </c>
      <c r="B9" s="168" t="s">
        <v>10</v>
      </c>
      <c r="C9" s="187"/>
      <c r="D9" s="22">
        <f>D12+7</f>
        <v>46392</v>
      </c>
      <c r="E9" s="23" t="s">
        <v>11</v>
      </c>
      <c r="F9" s="24">
        <f>D9+2</f>
        <v>46394</v>
      </c>
      <c r="G9" s="63">
        <v>1008</v>
      </c>
      <c r="H9" s="64"/>
      <c r="I9" s="140">
        <f>'1월26일'!I9+'1월27일'!I9+'1월28일'!I9+'1월29일'!I9+'1월30일'!I9</f>
        <v>0</v>
      </c>
      <c r="J9" s="65">
        <f>G9-(I9+K9)</f>
        <v>1008</v>
      </c>
      <c r="K9" s="140">
        <f>'1월26일'!K9+'1월27일'!K9+'1월28일'!K9+'1월29일'!K9+'1월30일'!K9</f>
        <v>0</v>
      </c>
      <c r="L9" s="67"/>
      <c r="M9" s="63">
        <v>976</v>
      </c>
      <c r="N9" s="63"/>
      <c r="O9" s="140">
        <f>'1월26일'!O9+'1월27일'!O9+'1월28일'!O9+'1월29일'!O9+'1월30일'!O9</f>
        <v>20</v>
      </c>
      <c r="P9" s="65">
        <f>M9-(O9+Q9)</f>
        <v>606</v>
      </c>
      <c r="Q9" s="140">
        <f>'1월26일'!Q9+'1월27일'!Q9+'1월28일'!Q9+'1월29일'!Q9+'1월30일'!Q9</f>
        <v>350</v>
      </c>
    </row>
    <row r="10" spans="1:255" ht="14.25" customHeight="1">
      <c r="A10" s="166"/>
      <c r="B10" s="169" t="s">
        <v>12</v>
      </c>
      <c r="C10" s="188"/>
      <c r="D10" s="28">
        <f>D9+3</f>
        <v>46395</v>
      </c>
      <c r="E10" s="29" t="s">
        <v>11</v>
      </c>
      <c r="F10" s="30">
        <f>D10+2</f>
        <v>46397</v>
      </c>
      <c r="G10" s="69">
        <v>384</v>
      </c>
      <c r="H10" s="70"/>
      <c r="I10" s="69">
        <f>'1월26일'!I10+'1월27일'!I10+'1월28일'!I10+'1월29일'!I10+'1월30일'!I10</f>
        <v>0</v>
      </c>
      <c r="J10" s="65">
        <f>G10-(I10+K10)</f>
        <v>384</v>
      </c>
      <c r="K10" s="69">
        <f>'1월26일'!K10+'1월27일'!K10+'1월28일'!K10+'1월29일'!K10+'1월30일'!K10</f>
        <v>0</v>
      </c>
      <c r="L10" s="72"/>
      <c r="M10" s="69">
        <v>368</v>
      </c>
      <c r="N10" s="69"/>
      <c r="O10" s="69">
        <f>'1월26일'!O10+'1월27일'!O10+'1월28일'!O10+'1월29일'!O10+'1월30일'!O10</f>
        <v>0</v>
      </c>
      <c r="P10" s="65">
        <f>M10-(O10+Q10)</f>
        <v>368</v>
      </c>
      <c r="Q10" s="69">
        <f>'1월26일'!Q10+'1월27일'!Q10+'1월28일'!Q10+'1월29일'!Q10+'1월30일'!Q10</f>
        <v>0</v>
      </c>
    </row>
    <row r="11" spans="1:255" ht="14.25" customHeight="1">
      <c r="A11" s="167"/>
      <c r="B11" s="170"/>
      <c r="C11" s="189"/>
      <c r="D11" s="31">
        <f>D9</f>
        <v>46392</v>
      </c>
      <c r="E11" s="32" t="s">
        <v>11</v>
      </c>
      <c r="F11" s="33">
        <f>F10</f>
        <v>46397</v>
      </c>
      <c r="G11" s="74">
        <f>G9+G10</f>
        <v>1392</v>
      </c>
      <c r="H11" s="75"/>
      <c r="I11" s="74">
        <f>I9+I10</f>
        <v>0</v>
      </c>
      <c r="J11" s="76">
        <f>J9+J10</f>
        <v>1392</v>
      </c>
      <c r="K11" s="74">
        <f>K9+K10</f>
        <v>0</v>
      </c>
      <c r="L11" s="78"/>
      <c r="M11" s="74">
        <f>M9+M10</f>
        <v>1344</v>
      </c>
      <c r="N11" s="77"/>
      <c r="O11" s="74">
        <f>O9+O10</f>
        <v>20</v>
      </c>
      <c r="P11" s="76">
        <f>P9+P10</f>
        <v>974</v>
      </c>
      <c r="Q11" s="74">
        <f>Q9+Q10</f>
        <v>350</v>
      </c>
    </row>
    <row r="12" spans="1:255" ht="14.25" customHeight="1">
      <c r="A12" s="165" t="s">
        <v>57</v>
      </c>
      <c r="B12" s="168" t="s">
        <v>10</v>
      </c>
      <c r="C12" s="187"/>
      <c r="D12" s="22">
        <f>D15+7</f>
        <v>46385</v>
      </c>
      <c r="E12" s="23" t="s">
        <v>11</v>
      </c>
      <c r="F12" s="24">
        <f>D12+2</f>
        <v>46387</v>
      </c>
      <c r="G12" s="63">
        <f>'1월26일'!G12</f>
        <v>1180</v>
      </c>
      <c r="H12" s="64"/>
      <c r="I12" s="140">
        <f>'1월26일'!I12+'1월27일'!I12+'1월28일'!I12+'1월29일'!I12+'1월30일'!I12</f>
        <v>4</v>
      </c>
      <c r="J12" s="79">
        <f>G12-(I12+K12)</f>
        <v>1026</v>
      </c>
      <c r="K12" s="140">
        <f>'1월26일'!K12+'1월27일'!K12+'1월28일'!K12+'1월29일'!K12+'1월30일'!K12</f>
        <v>150</v>
      </c>
      <c r="L12" s="132"/>
      <c r="M12" s="63">
        <f>'1월26일'!M12</f>
        <v>746</v>
      </c>
      <c r="N12" s="63"/>
      <c r="O12" s="140">
        <f>'1월26일'!O12+'1월27일'!O12+'1월28일'!O12+'1월29일'!O12+'1월30일'!O12</f>
        <v>0</v>
      </c>
      <c r="P12" s="65">
        <f>M12-(O12+Q12)</f>
        <v>746</v>
      </c>
      <c r="Q12" s="140">
        <f>'1월26일'!Q12+'1월27일'!Q12+'1월28일'!Q12+'1월29일'!Q12+'1월30일'!Q12</f>
        <v>0</v>
      </c>
      <c r="R12" s="135"/>
    </row>
    <row r="13" spans="1:255" ht="14.25" customHeight="1">
      <c r="A13" s="166"/>
      <c r="B13" s="169" t="s">
        <v>12</v>
      </c>
      <c r="C13" s="188"/>
      <c r="D13" s="28">
        <f>D12+3</f>
        <v>46388</v>
      </c>
      <c r="E13" s="29" t="s">
        <v>11</v>
      </c>
      <c r="F13" s="30">
        <f>D13+2</f>
        <v>46390</v>
      </c>
      <c r="G13" s="69">
        <f>'1월26일'!G13</f>
        <v>448</v>
      </c>
      <c r="H13" s="70"/>
      <c r="I13" s="69">
        <f>'1월26일'!I13+'1월27일'!I13+'1월28일'!I13+'1월29일'!I13+'1월30일'!I13</f>
        <v>0</v>
      </c>
      <c r="J13" s="65">
        <f>G13-(I13+K13)</f>
        <v>448</v>
      </c>
      <c r="K13" s="69">
        <f>'1월26일'!K13+'1월27일'!K13+'1월28일'!K13+'1월29일'!K13+'1월30일'!K13</f>
        <v>0</v>
      </c>
      <c r="L13" s="67"/>
      <c r="M13" s="69">
        <f>'1월26일'!M13</f>
        <v>512</v>
      </c>
      <c r="N13" s="69"/>
      <c r="O13" s="69">
        <f>'1월26일'!O13+'1월27일'!O13+'1월28일'!O13+'1월29일'!O13+'1월30일'!O13</f>
        <v>0</v>
      </c>
      <c r="P13" s="65">
        <f>M13-(O13+Q13)</f>
        <v>512</v>
      </c>
      <c r="Q13" s="69">
        <f>'1월26일'!Q13+'1월27일'!Q13+'1월28일'!Q13+'1월29일'!Q13+'1월30일'!Q13</f>
        <v>0</v>
      </c>
      <c r="R13" s="134"/>
    </row>
    <row r="14" spans="1:255" ht="14.25" customHeight="1">
      <c r="A14" s="167"/>
      <c r="B14" s="170"/>
      <c r="C14" s="189"/>
      <c r="D14" s="38">
        <f>D12</f>
        <v>46385</v>
      </c>
      <c r="E14" s="39" t="s">
        <v>11</v>
      </c>
      <c r="F14" s="40">
        <f>F13</f>
        <v>46390</v>
      </c>
      <c r="G14" s="74">
        <f>G12+G13</f>
        <v>1628</v>
      </c>
      <c r="H14" s="75"/>
      <c r="I14" s="74">
        <f>I12+I13</f>
        <v>4</v>
      </c>
      <c r="J14" s="76">
        <f>J12+J13</f>
        <v>1474</v>
      </c>
      <c r="K14" s="74">
        <f>K12+K13</f>
        <v>150</v>
      </c>
      <c r="L14" s="81"/>
      <c r="M14" s="74">
        <f>M12+M13</f>
        <v>1258</v>
      </c>
      <c r="N14" s="74"/>
      <c r="O14" s="74">
        <f>O12+O13</f>
        <v>0</v>
      </c>
      <c r="P14" s="76">
        <f>P12+P13</f>
        <v>1258</v>
      </c>
      <c r="Q14" s="74">
        <f>Q12+Q13</f>
        <v>0</v>
      </c>
    </row>
    <row r="15" spans="1:255" ht="14.25" customHeight="1">
      <c r="A15" s="165" t="s">
        <v>58</v>
      </c>
      <c r="B15" s="168" t="s">
        <v>10</v>
      </c>
      <c r="C15" s="187"/>
      <c r="D15" s="42">
        <f>D18+7</f>
        <v>46378</v>
      </c>
      <c r="E15" s="43" t="s">
        <v>11</v>
      </c>
      <c r="F15" s="44">
        <f>D15+2</f>
        <v>46380</v>
      </c>
      <c r="G15" s="63">
        <f>'1월26일'!G15</f>
        <v>971</v>
      </c>
      <c r="H15" s="83"/>
      <c r="I15" s="140">
        <f>'1월26일'!I15+'1월27일'!I15+'1월28일'!I15+'1월29일'!I15+'1월30일'!I15</f>
        <v>275</v>
      </c>
      <c r="J15" s="79">
        <f>G15-(I15+K15)</f>
        <v>528</v>
      </c>
      <c r="K15" s="140">
        <f>'1월26일'!K15+'1월27일'!K15+'1월28일'!K15+'1월29일'!K15+'1월30일'!K15</f>
        <v>168</v>
      </c>
      <c r="L15" s="132"/>
      <c r="M15" s="63">
        <f>'1월26일'!M15</f>
        <v>478</v>
      </c>
      <c r="N15" s="84"/>
      <c r="O15" s="140">
        <f>'1월26일'!O15+'1월27일'!O15+'1월28일'!O15+'1월29일'!O15+'1월30일'!O15</f>
        <v>283</v>
      </c>
      <c r="P15" s="79">
        <f>M15-(O15+Q15)</f>
        <v>150</v>
      </c>
      <c r="Q15" s="140">
        <f>'1월26일'!Q15+'1월27일'!Q15+'1월28일'!Q15+'1월29일'!Q15+'1월30일'!Q15</f>
        <v>45</v>
      </c>
      <c r="R15" s="131"/>
    </row>
    <row r="16" spans="1:255" ht="14.25" customHeight="1">
      <c r="A16" s="166"/>
      <c r="B16" s="169" t="s">
        <v>12</v>
      </c>
      <c r="C16" s="188"/>
      <c r="D16" s="28">
        <f>D15+3</f>
        <v>46381</v>
      </c>
      <c r="E16" s="29" t="s">
        <v>11</v>
      </c>
      <c r="F16" s="30">
        <f>D16+2</f>
        <v>46383</v>
      </c>
      <c r="G16" s="69">
        <f>'1월26일'!G16</f>
        <v>432</v>
      </c>
      <c r="H16" s="70"/>
      <c r="I16" s="69">
        <f>'1월26일'!I16+'1월27일'!I16+'1월28일'!I16+'1월29일'!I16+'1월30일'!I16</f>
        <v>0</v>
      </c>
      <c r="J16" s="65">
        <f>G16-(I16+K16)</f>
        <v>432</v>
      </c>
      <c r="K16" s="69">
        <f>'1월26일'!K16+'1월27일'!K16+'1월28일'!K16+'1월29일'!K16+'1월30일'!K16</f>
        <v>0</v>
      </c>
      <c r="L16" s="87"/>
      <c r="M16" s="69">
        <f>'1월26일'!M16</f>
        <v>480</v>
      </c>
      <c r="N16" s="69"/>
      <c r="O16" s="69">
        <f>'1월26일'!O16+'1월27일'!O16+'1월28일'!O16+'1월29일'!O16+'1월30일'!O16</f>
        <v>0</v>
      </c>
      <c r="P16" s="65">
        <f>M16-(O16+Q16)</f>
        <v>380</v>
      </c>
      <c r="Q16" s="69">
        <f>'1월26일'!Q16+'1월27일'!Q16+'1월28일'!Q16+'1월29일'!Q16+'1월30일'!Q16</f>
        <v>100</v>
      </c>
      <c r="R16" s="181"/>
      <c r="S16" s="181"/>
    </row>
    <row r="17" spans="1:18" ht="14.25" customHeight="1">
      <c r="A17" s="167"/>
      <c r="B17" s="170"/>
      <c r="C17" s="189"/>
      <c r="D17" s="31">
        <f>D15</f>
        <v>46378</v>
      </c>
      <c r="E17" s="32" t="s">
        <v>11</v>
      </c>
      <c r="F17" s="33">
        <f>F16</f>
        <v>46383</v>
      </c>
      <c r="G17" s="74">
        <f>G15+G16</f>
        <v>1403</v>
      </c>
      <c r="H17" s="75"/>
      <c r="I17" s="74">
        <f>I15+I16</f>
        <v>275</v>
      </c>
      <c r="J17" s="76">
        <f>J15+J16</f>
        <v>960</v>
      </c>
      <c r="K17" s="74">
        <f>K15+K16</f>
        <v>168</v>
      </c>
      <c r="L17" s="81"/>
      <c r="M17" s="74">
        <f>M15+M16</f>
        <v>958</v>
      </c>
      <c r="N17" s="77"/>
      <c r="O17" s="74">
        <f>O15+O16</f>
        <v>283</v>
      </c>
      <c r="P17" s="76">
        <f>P15+P16</f>
        <v>530</v>
      </c>
      <c r="Q17" s="74">
        <f>Q15+Q16</f>
        <v>145</v>
      </c>
    </row>
    <row r="18" spans="1:18" ht="14.25" customHeight="1">
      <c r="A18" s="165" t="s">
        <v>38</v>
      </c>
      <c r="B18" s="168" t="s">
        <v>10</v>
      </c>
      <c r="C18" s="187"/>
      <c r="D18" s="22">
        <f>D21+7</f>
        <v>46371</v>
      </c>
      <c r="E18" s="23" t="s">
        <v>11</v>
      </c>
      <c r="F18" s="24">
        <f>D18+2</f>
        <v>46373</v>
      </c>
      <c r="G18" s="63">
        <f>'1월26일'!G18</f>
        <v>220</v>
      </c>
      <c r="H18" s="64"/>
      <c r="I18" s="140">
        <f>'1월26일'!I18+'1월27일'!I18+'1월28일'!I18+'1월29일'!I18+'1월30일'!I18</f>
        <v>168</v>
      </c>
      <c r="J18" s="79">
        <f>G18-(I18+K18)</f>
        <v>0</v>
      </c>
      <c r="K18" s="140">
        <f>'1월26일'!K18+'1월27일'!K18+'1월28일'!K18+'1월29일'!K18+'1월30일'!K18</f>
        <v>52</v>
      </c>
      <c r="L18" s="136"/>
      <c r="M18" s="63">
        <f>'1월26일'!M18</f>
        <v>0</v>
      </c>
      <c r="N18" s="63"/>
      <c r="O18" s="140">
        <f>'1월26일'!O18+'1월27일'!O18+'1월28일'!O18+'1월29일'!O18+'1월30일'!O18</f>
        <v>0</v>
      </c>
      <c r="P18" s="79">
        <f>M18-(O18+Q18)</f>
        <v>0</v>
      </c>
      <c r="Q18" s="140">
        <f>'1월26일'!Q18+'1월27일'!Q18+'1월28일'!Q18+'1월29일'!Q18+'1월30일'!Q18</f>
        <v>0</v>
      </c>
      <c r="R18" s="131"/>
    </row>
    <row r="19" spans="1:18" ht="14.25" customHeight="1">
      <c r="A19" s="166"/>
      <c r="B19" s="169" t="s">
        <v>12</v>
      </c>
      <c r="C19" s="188"/>
      <c r="D19" s="28">
        <f>D18+3</f>
        <v>46374</v>
      </c>
      <c r="E19" s="29" t="s">
        <v>11</v>
      </c>
      <c r="F19" s="30">
        <f>D19+2</f>
        <v>46376</v>
      </c>
      <c r="G19" s="69">
        <f>'1월26일'!G19</f>
        <v>496</v>
      </c>
      <c r="H19" s="70"/>
      <c r="I19" s="69">
        <f>'1월26일'!I19+'1월27일'!I19+'1월28일'!I19+'1월29일'!I19+'1월30일'!I19</f>
        <v>83</v>
      </c>
      <c r="J19" s="65">
        <f>G19-(I19+K19)</f>
        <v>380</v>
      </c>
      <c r="K19" s="69">
        <f>'1월26일'!K19+'1월27일'!K19+'1월28일'!K19+'1월29일'!K19+'1월30일'!K19</f>
        <v>33</v>
      </c>
      <c r="L19" s="133"/>
      <c r="M19" s="69">
        <f>'1월26일'!M19</f>
        <v>394</v>
      </c>
      <c r="N19" s="69"/>
      <c r="O19" s="69">
        <f>'1월26일'!O19+'1월27일'!O19+'1월28일'!O19+'1월29일'!O19+'1월30일'!O19</f>
        <v>69</v>
      </c>
      <c r="P19" s="65">
        <f>M19-(O19+Q19)</f>
        <v>200</v>
      </c>
      <c r="Q19" s="69">
        <f>'1월26일'!Q19+'1월27일'!Q19+'1월28일'!Q19+'1월29일'!Q19+'1월30일'!Q19</f>
        <v>125</v>
      </c>
      <c r="R19" s="131"/>
    </row>
    <row r="20" spans="1:18" ht="14.25" customHeight="1">
      <c r="A20" s="167"/>
      <c r="B20" s="170"/>
      <c r="C20" s="189"/>
      <c r="D20" s="38">
        <f>D18</f>
        <v>46371</v>
      </c>
      <c r="E20" s="39" t="s">
        <v>11</v>
      </c>
      <c r="F20" s="40">
        <f>F19</f>
        <v>46376</v>
      </c>
      <c r="G20" s="74">
        <f>G18+G19</f>
        <v>716</v>
      </c>
      <c r="H20" s="75"/>
      <c r="I20" s="74">
        <f>I18+I19</f>
        <v>251</v>
      </c>
      <c r="J20" s="76">
        <f>J18+J19</f>
        <v>380</v>
      </c>
      <c r="K20" s="74">
        <f>K18+K19</f>
        <v>85</v>
      </c>
      <c r="L20" s="81"/>
      <c r="M20" s="74">
        <f>M18+M19</f>
        <v>394</v>
      </c>
      <c r="N20" s="74"/>
      <c r="O20" s="74">
        <f>O18+O19</f>
        <v>69</v>
      </c>
      <c r="P20" s="76">
        <f>P18+P19</f>
        <v>200</v>
      </c>
      <c r="Q20" s="74">
        <f>Q18+Q19</f>
        <v>125</v>
      </c>
    </row>
    <row r="21" spans="1:18" ht="14.25" customHeight="1">
      <c r="A21" s="165" t="s">
        <v>51</v>
      </c>
      <c r="B21" s="168" t="s">
        <v>10</v>
      </c>
      <c r="C21" s="187"/>
      <c r="D21" s="42">
        <f>D24+7</f>
        <v>46364</v>
      </c>
      <c r="E21" s="43" t="s">
        <v>11</v>
      </c>
      <c r="F21" s="44">
        <f>D21+2</f>
        <v>46366</v>
      </c>
      <c r="G21" s="63">
        <f>'1월26일'!G21</f>
        <v>124</v>
      </c>
      <c r="H21" s="89"/>
      <c r="I21" s="140">
        <f>'1월26일'!I21+'1월27일'!I21+'1월28일'!I21+'1월29일'!I21+'1월30일'!I21</f>
        <v>110</v>
      </c>
      <c r="J21" s="79">
        <f>G21-(I21+K21)</f>
        <v>0</v>
      </c>
      <c r="K21" s="140">
        <f>'1월26일'!K21+'1월27일'!K21+'1월28일'!K21+'1월29일'!K21+'1월30일'!K21</f>
        <v>14</v>
      </c>
      <c r="L21" s="132"/>
      <c r="M21" s="63">
        <f>'1월26일'!M21</f>
        <v>0</v>
      </c>
      <c r="N21" s="63"/>
      <c r="O21" s="140">
        <f>'1월26일'!O21+'1월27일'!O21+'1월28일'!O21+'1월29일'!O21+'1월30일'!O21</f>
        <v>0</v>
      </c>
      <c r="P21" s="79">
        <f>M21-(O21+Q21)</f>
        <v>0</v>
      </c>
      <c r="Q21" s="140">
        <f>'1월26일'!Q21+'1월27일'!Q21+'1월28일'!Q21+'1월29일'!Q21+'1월30일'!Q21</f>
        <v>0</v>
      </c>
      <c r="R21" s="131"/>
    </row>
    <row r="22" spans="1:18" ht="14.25" customHeight="1">
      <c r="A22" s="166"/>
      <c r="B22" s="169" t="s">
        <v>12</v>
      </c>
      <c r="C22" s="188"/>
      <c r="D22" s="28">
        <f>D21+3</f>
        <v>46367</v>
      </c>
      <c r="E22" s="29" t="s">
        <v>11</v>
      </c>
      <c r="F22" s="30">
        <f>D22+2</f>
        <v>46369</v>
      </c>
      <c r="G22" s="69">
        <f>'1월26일'!G22</f>
        <v>240</v>
      </c>
      <c r="H22" s="90"/>
      <c r="I22" s="69">
        <f>'1월26일'!I22+'1월27일'!I22+'1월28일'!I22+'1월29일'!I22+'1월30일'!I22</f>
        <v>75</v>
      </c>
      <c r="J22" s="65">
        <f>G22-(I22+K22)</f>
        <v>140</v>
      </c>
      <c r="K22" s="69">
        <f>'1월26일'!K22+'1월27일'!K22+'1월28일'!K22+'1월29일'!K22+'1월30일'!K22</f>
        <v>25</v>
      </c>
      <c r="L22" s="87"/>
      <c r="M22" s="69">
        <f>'1월26일'!M22</f>
        <v>206</v>
      </c>
      <c r="N22" s="69"/>
      <c r="O22" s="69">
        <f>'1월26일'!O22+'1월27일'!O22+'1월28일'!O22+'1월29일'!O22+'1월30일'!O22</f>
        <v>10</v>
      </c>
      <c r="P22" s="65">
        <f>M22-(O22+Q22)</f>
        <v>190</v>
      </c>
      <c r="Q22" s="69">
        <f>'1월26일'!Q22+'1월27일'!Q22+'1월28일'!Q22+'1월29일'!Q22+'1월30일'!Q22</f>
        <v>6</v>
      </c>
      <c r="R22" s="131"/>
    </row>
    <row r="23" spans="1:18" ht="14.25" customHeight="1">
      <c r="A23" s="167"/>
      <c r="B23" s="170"/>
      <c r="C23" s="189"/>
      <c r="D23" s="31">
        <f>D21</f>
        <v>46364</v>
      </c>
      <c r="E23" s="32" t="s">
        <v>11</v>
      </c>
      <c r="F23" s="33">
        <f>F22</f>
        <v>46369</v>
      </c>
      <c r="G23" s="74">
        <f>G21+G22</f>
        <v>364</v>
      </c>
      <c r="H23" s="90"/>
      <c r="I23" s="74">
        <f>I21+I22</f>
        <v>185</v>
      </c>
      <c r="J23" s="76">
        <f>J21+J22</f>
        <v>140</v>
      </c>
      <c r="K23" s="74">
        <f>K21+K22</f>
        <v>39</v>
      </c>
      <c r="L23" s="81"/>
      <c r="M23" s="74">
        <f>M21+M22</f>
        <v>206</v>
      </c>
      <c r="N23" s="74"/>
      <c r="O23" s="74">
        <f>O21+O22</f>
        <v>10</v>
      </c>
      <c r="P23" s="76">
        <f>P21+P22</f>
        <v>190</v>
      </c>
      <c r="Q23" s="74">
        <f>Q21+Q22</f>
        <v>6</v>
      </c>
    </row>
    <row r="24" spans="1:18" ht="14.25" customHeight="1">
      <c r="A24" s="165" t="s">
        <v>42</v>
      </c>
      <c r="B24" s="168" t="s">
        <v>10</v>
      </c>
      <c r="C24" s="187"/>
      <c r="D24" s="22">
        <f>D27+7</f>
        <v>46357</v>
      </c>
      <c r="E24" s="23" t="s">
        <v>11</v>
      </c>
      <c r="F24" s="24">
        <f>D24+2</f>
        <v>46359</v>
      </c>
      <c r="G24" s="63">
        <f>'1월26일'!G24</f>
        <v>120</v>
      </c>
      <c r="H24" s="89"/>
      <c r="I24" s="140">
        <f>'1월26일'!I24+'1월27일'!I24+'1월28일'!I24+'1월29일'!I24+'1월30일'!I24</f>
        <v>110</v>
      </c>
      <c r="J24" s="79">
        <f>G24-(I24+K24)</f>
        <v>0</v>
      </c>
      <c r="K24" s="140">
        <f>'1월26일'!K24+'1월27일'!K24+'1월28일'!K24+'1월29일'!K24+'1월30일'!K24</f>
        <v>10</v>
      </c>
      <c r="L24" s="132"/>
      <c r="M24" s="63">
        <f>'1월26일'!M24</f>
        <v>0</v>
      </c>
      <c r="N24" s="84"/>
      <c r="O24" s="140">
        <f>'1월26일'!O24+'1월27일'!O24+'1월28일'!O24+'1월29일'!O24+'1월30일'!O24</f>
        <v>0</v>
      </c>
      <c r="P24" s="79">
        <f>M24-(O24+Q24)</f>
        <v>0</v>
      </c>
      <c r="Q24" s="140">
        <f>'1월26일'!Q24+'1월27일'!Q24+'1월28일'!Q24+'1월29일'!Q24+'1월30일'!Q24</f>
        <v>0</v>
      </c>
    </row>
    <row r="25" spans="1:18" ht="14.25" customHeight="1">
      <c r="A25" s="166"/>
      <c r="B25" s="169" t="s">
        <v>12</v>
      </c>
      <c r="C25" s="188"/>
      <c r="D25" s="28">
        <f>D24+3</f>
        <v>46360</v>
      </c>
      <c r="E25" s="29" t="s">
        <v>11</v>
      </c>
      <c r="F25" s="30">
        <f>D25+2</f>
        <v>46362</v>
      </c>
      <c r="G25" s="69">
        <f>'1월26일'!G25</f>
        <v>220</v>
      </c>
      <c r="H25" s="90"/>
      <c r="I25" s="69">
        <f>'1월26일'!I25+'1월27일'!I25+'1월28일'!I25+'1월29일'!I25+'1월30일'!I25</f>
        <v>185</v>
      </c>
      <c r="J25" s="65">
        <f>G25-(I25+K25)</f>
        <v>0</v>
      </c>
      <c r="K25" s="69">
        <f>'1월26일'!K25+'1월27일'!K25+'1월28일'!K25+'1월29일'!K25+'1월30일'!K25</f>
        <v>35</v>
      </c>
      <c r="L25" s="87"/>
      <c r="M25" s="69">
        <f>'1월26일'!M25</f>
        <v>300</v>
      </c>
      <c r="N25" s="69"/>
      <c r="O25" s="69">
        <f>'1월26일'!O25+'1월27일'!O25+'1월28일'!O25+'1월29일'!O25+'1월30일'!O25</f>
        <v>207</v>
      </c>
      <c r="P25" s="65">
        <f>M25-(O25+Q25)</f>
        <v>58</v>
      </c>
      <c r="Q25" s="69">
        <f>'1월26일'!Q25+'1월27일'!Q25+'1월28일'!Q25+'1월29일'!Q25+'1월30일'!Q25</f>
        <v>35</v>
      </c>
      <c r="R25" s="131"/>
    </row>
    <row r="26" spans="1:18" ht="14.25" customHeight="1">
      <c r="A26" s="167"/>
      <c r="B26" s="170"/>
      <c r="C26" s="189"/>
      <c r="D26" s="38">
        <f>D24</f>
        <v>46357</v>
      </c>
      <c r="E26" s="39" t="s">
        <v>11</v>
      </c>
      <c r="F26" s="40">
        <f>F25</f>
        <v>46362</v>
      </c>
      <c r="G26" s="74">
        <f>G24+G25</f>
        <v>340</v>
      </c>
      <c r="H26" s="90"/>
      <c r="I26" s="74">
        <f>I24+I25</f>
        <v>295</v>
      </c>
      <c r="J26" s="76">
        <f>J24+J25</f>
        <v>0</v>
      </c>
      <c r="K26" s="74">
        <f>K24+K25</f>
        <v>45</v>
      </c>
      <c r="L26" s="93"/>
      <c r="M26" s="74">
        <f>M24+M25</f>
        <v>300</v>
      </c>
      <c r="N26" s="69"/>
      <c r="O26" s="74">
        <f>O24+O25</f>
        <v>207</v>
      </c>
      <c r="P26" s="76">
        <f>P24+P25</f>
        <v>58</v>
      </c>
      <c r="Q26" s="74">
        <f>Q24+Q25</f>
        <v>35</v>
      </c>
    </row>
    <row r="27" spans="1:18" ht="14.25" customHeight="1">
      <c r="A27" s="165" t="s">
        <v>46</v>
      </c>
      <c r="B27" s="168" t="s">
        <v>10</v>
      </c>
      <c r="C27" s="187"/>
      <c r="D27" s="42">
        <v>46350</v>
      </c>
      <c r="E27" s="43" t="s">
        <v>11</v>
      </c>
      <c r="F27" s="44">
        <f>D27+2</f>
        <v>46352</v>
      </c>
      <c r="G27" s="63">
        <f>'1월26일'!G27</f>
        <v>0</v>
      </c>
      <c r="H27" s="89"/>
      <c r="I27" s="140">
        <f>'1월26일'!I27+'1월27일'!I27+'1월28일'!I27+'1월29일'!I27+'1월30일'!I27</f>
        <v>0</v>
      </c>
      <c r="J27" s="79">
        <f>G27-(I27+K27)</f>
        <v>0</v>
      </c>
      <c r="K27" s="140">
        <f>'1월26일'!K27+'1월27일'!K27+'1월28일'!K27+'1월29일'!K27+'1월30일'!K27</f>
        <v>0</v>
      </c>
      <c r="L27" s="80"/>
      <c r="M27" s="63">
        <f>'1월26일'!M27</f>
        <v>0</v>
      </c>
      <c r="N27" s="63"/>
      <c r="O27" s="140">
        <f>'1월26일'!O27+'1월27일'!O27+'1월28일'!O27+'1월29일'!O27+'1월30일'!O27</f>
        <v>0</v>
      </c>
      <c r="P27" s="79">
        <f>M27-(O27+Q27)</f>
        <v>0</v>
      </c>
      <c r="Q27" s="140">
        <f>'1월26일'!Q27+'1월27일'!Q27+'1월28일'!Q27+'1월29일'!Q27+'1월30일'!Q27</f>
        <v>0</v>
      </c>
    </row>
    <row r="28" spans="1:18" ht="14.25" customHeight="1">
      <c r="A28" s="166"/>
      <c r="B28" s="169" t="s">
        <v>12</v>
      </c>
      <c r="C28" s="188"/>
      <c r="D28" s="28">
        <f>D27+3</f>
        <v>46353</v>
      </c>
      <c r="E28" s="29" t="s">
        <v>11</v>
      </c>
      <c r="F28" s="30">
        <f>D28+2</f>
        <v>46355</v>
      </c>
      <c r="G28" s="69">
        <f>'1월26일'!G28</f>
        <v>0</v>
      </c>
      <c r="H28" s="90"/>
      <c r="I28" s="69">
        <f>'1월26일'!I28+'1월27일'!I28+'1월28일'!I28+'1월29일'!I28+'1월30일'!I28</f>
        <v>0</v>
      </c>
      <c r="J28" s="65">
        <f>G28-(I28+K28)</f>
        <v>0</v>
      </c>
      <c r="K28" s="69">
        <f>'1월26일'!K28+'1월27일'!K28+'1월28일'!K28+'1월29일'!K28+'1월30일'!K28</f>
        <v>0</v>
      </c>
      <c r="L28" s="87"/>
      <c r="M28" s="69">
        <f>'1월26일'!M28</f>
        <v>120</v>
      </c>
      <c r="N28" s="69"/>
      <c r="O28" s="69">
        <f>'1월26일'!O28+'1월27일'!O28+'1월28일'!O28+'1월29일'!O28+'1월30일'!O28</f>
        <v>0</v>
      </c>
      <c r="P28" s="65">
        <f>M28-(O28+Q28)</f>
        <v>0</v>
      </c>
      <c r="Q28" s="69">
        <f>'1월26일'!Q28+'1월27일'!Q28+'1월28일'!Q28+'1월29일'!Q28+'1월30일'!Q28</f>
        <v>120</v>
      </c>
      <c r="R28" s="21"/>
    </row>
    <row r="29" spans="1:18" ht="14.25" customHeight="1">
      <c r="A29" s="167"/>
      <c r="B29" s="170"/>
      <c r="C29" s="189"/>
      <c r="D29" s="31">
        <f>D27</f>
        <v>46350</v>
      </c>
      <c r="E29" s="32" t="s">
        <v>11</v>
      </c>
      <c r="F29" s="33">
        <f>F28</f>
        <v>46355</v>
      </c>
      <c r="G29" s="74">
        <f>G27+G28</f>
        <v>0</v>
      </c>
      <c r="H29" s="95"/>
      <c r="I29" s="74">
        <f>I27+I28</f>
        <v>0</v>
      </c>
      <c r="J29" s="76">
        <f>J27+J28</f>
        <v>0</v>
      </c>
      <c r="K29" s="74">
        <f>K27+K28</f>
        <v>0</v>
      </c>
      <c r="L29" s="96"/>
      <c r="M29" s="74">
        <f>M27+M28</f>
        <v>120</v>
      </c>
      <c r="N29" s="74"/>
      <c r="O29" s="74">
        <f>O27+O28</f>
        <v>0</v>
      </c>
      <c r="P29" s="76">
        <f>P27+P28</f>
        <v>0</v>
      </c>
      <c r="Q29" s="74">
        <f>Q27+Q28</f>
        <v>120</v>
      </c>
    </row>
    <row r="30" spans="1:18" ht="14.25" customHeight="1">
      <c r="A30" s="165" t="s">
        <v>47</v>
      </c>
      <c r="B30" s="168"/>
      <c r="C30" s="187"/>
      <c r="D30" s="46"/>
      <c r="E30" s="47"/>
      <c r="F30" s="48"/>
      <c r="G30" s="25">
        <v>0</v>
      </c>
      <c r="H30" s="25"/>
      <c r="I30" s="25"/>
      <c r="J30" s="26"/>
      <c r="K30" s="25"/>
      <c r="L30" s="27"/>
      <c r="M30" s="45">
        <v>0</v>
      </c>
      <c r="N30" s="25"/>
      <c r="O30" s="25"/>
      <c r="P30" s="37"/>
      <c r="Q30" s="25"/>
    </row>
    <row r="31" spans="1:18" ht="14.25" customHeight="1">
      <c r="A31" s="167"/>
      <c r="B31" s="170"/>
      <c r="C31" s="189"/>
      <c r="D31" s="49"/>
      <c r="E31" s="50"/>
      <c r="F31" s="51"/>
      <c r="G31" s="34">
        <v>0</v>
      </c>
      <c r="H31" s="34"/>
      <c r="I31" s="34"/>
      <c r="J31" s="52"/>
      <c r="K31" s="35"/>
      <c r="L31" s="41"/>
      <c r="M31" s="36"/>
      <c r="N31" s="35"/>
      <c r="O31" s="35"/>
      <c r="P31" s="37"/>
      <c r="Q31" s="35"/>
    </row>
    <row r="32" spans="1:18" ht="18" customHeight="1">
      <c r="A32" s="179" t="s">
        <v>13</v>
      </c>
      <c r="B32" s="180"/>
      <c r="C32" s="186"/>
      <c r="D32" s="53"/>
      <c r="E32" s="54"/>
      <c r="F32" s="55"/>
      <c r="G32" s="56">
        <v>0</v>
      </c>
      <c r="H32" s="56"/>
      <c r="I32" s="56"/>
      <c r="J32" s="57"/>
      <c r="K32" s="58"/>
      <c r="L32" s="59"/>
      <c r="M32" s="60"/>
      <c r="N32" s="58"/>
      <c r="O32" s="58"/>
      <c r="P32" s="57"/>
      <c r="Q32" s="58"/>
    </row>
    <row r="33" spans="1:17" ht="18" customHeight="1">
      <c r="A33" s="179" t="s">
        <v>14</v>
      </c>
      <c r="B33" s="180"/>
      <c r="C33" s="186"/>
      <c r="D33" s="61"/>
      <c r="E33" s="100"/>
      <c r="F33" s="55"/>
      <c r="G33" s="97">
        <f>(G11+G14+G17+G20+G23+G26+G29)</f>
        <v>5843</v>
      </c>
      <c r="H33" s="58"/>
      <c r="I33" s="97">
        <f>(I11+I14+I17+I20+I23+I26+I29)</f>
        <v>1010</v>
      </c>
      <c r="J33" s="57">
        <f>(J11+J14+J17+J20+J23+J26+J29)</f>
        <v>4346</v>
      </c>
      <c r="K33" s="97">
        <f>(K11+K14+K17+K20+K23+K26+K29)</f>
        <v>487</v>
      </c>
      <c r="L33" s="62"/>
      <c r="M33" s="97">
        <f>(M11+M14+M17+M20+M23+M26+M29)</f>
        <v>4580</v>
      </c>
      <c r="N33" s="58"/>
      <c r="O33" s="97">
        <f>(O11+O14+O17+O20+O23+O26+O29)</f>
        <v>589</v>
      </c>
      <c r="P33" s="57">
        <f>(P11+P14+P17+P20+P23+P26+P29)</f>
        <v>3210</v>
      </c>
      <c r="Q33" s="97">
        <f>(Q11+Q14+Q17+Q20+Q23+Q26+Q29)</f>
        <v>781</v>
      </c>
    </row>
    <row r="34" spans="1:17">
      <c r="A34" s="13" t="s">
        <v>15</v>
      </c>
    </row>
  </sheetData>
  <mergeCells count="54">
    <mergeCell ref="A1:L2"/>
    <mergeCell ref="B4:C4"/>
    <mergeCell ref="E4:F4"/>
    <mergeCell ref="G4:H4"/>
    <mergeCell ref="I4:K4"/>
    <mergeCell ref="M6:Q6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G6:L6"/>
    <mergeCell ref="P7:P8"/>
    <mergeCell ref="Q7:Q8"/>
    <mergeCell ref="D6:F8"/>
    <mergeCell ref="A12:A14"/>
    <mergeCell ref="B12:C12"/>
    <mergeCell ref="B13:C13"/>
    <mergeCell ref="B14:C14"/>
    <mergeCell ref="A9:A11"/>
    <mergeCell ref="B9:C9"/>
    <mergeCell ref="B10:C10"/>
    <mergeCell ref="B11:C11"/>
    <mergeCell ref="A6:C8"/>
    <mergeCell ref="A15:A17"/>
    <mergeCell ref="B15:C15"/>
    <mergeCell ref="B16:C16"/>
    <mergeCell ref="R16:S16"/>
    <mergeCell ref="B17:C17"/>
    <mergeCell ref="A18:A20"/>
    <mergeCell ref="B18:C18"/>
    <mergeCell ref="B19:C19"/>
    <mergeCell ref="B20:C20"/>
    <mergeCell ref="A21:A23"/>
    <mergeCell ref="B21:C21"/>
    <mergeCell ref="B22:C22"/>
    <mergeCell ref="B23:C23"/>
    <mergeCell ref="A24:A26"/>
    <mergeCell ref="B24:C24"/>
    <mergeCell ref="B25:C25"/>
    <mergeCell ref="B26:C26"/>
    <mergeCell ref="A32:C32"/>
    <mergeCell ref="A33:C33"/>
    <mergeCell ref="A27:A29"/>
    <mergeCell ref="B27:C27"/>
    <mergeCell ref="B28:C28"/>
    <mergeCell ref="B29:C29"/>
    <mergeCell ref="A30:A31"/>
    <mergeCell ref="B30:C30"/>
    <mergeCell ref="B31:C31"/>
  </mergeCells>
  <phoneticPr fontId="2" type="noConversion"/>
  <printOptions horizontalCentered="1" verticalCentered="1"/>
  <pageMargins left="0.15748031496062992" right="0.15748031496062992" top="0.59055118110236227" bottom="0.39370078740157483" header="0.39370078740157483" footer="0.19685039370078741"/>
  <pageSetup paperSize="9" scale="95" orientation="landscape" r:id="rId1"/>
  <headerFooter alignWithMargins="0">
    <oddHeader>&amp;R대외비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stock관리표</vt:lpstr>
      <vt:lpstr>1월26일</vt:lpstr>
      <vt:lpstr>1월27일</vt:lpstr>
      <vt:lpstr>1월28일</vt:lpstr>
      <vt:lpstr>1월29일</vt:lpstr>
      <vt:lpstr>1월30일</vt:lpstr>
      <vt:lpstr>1-5</vt:lpstr>
      <vt:lpstr>'1-5'!Print_Area</vt:lpstr>
      <vt:lpstr>'1월26일'!Print_Area</vt:lpstr>
      <vt:lpstr>'1월27일'!Print_Area</vt:lpstr>
      <vt:lpstr>'1월28일'!Print_Area</vt:lpstr>
      <vt:lpstr>'1월29일'!Print_Area</vt:lpstr>
      <vt:lpstr>'1월30일'!Print_Area</vt:lpstr>
      <vt:lpstr>stock관리표!Print_Area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바이오 오리엔트</cp:lastModifiedBy>
  <cp:lastPrinted>2026-01-30T07:53:50Z</cp:lastPrinted>
  <dcterms:created xsi:type="dcterms:W3CDTF">2021-12-30T06:17:15Z</dcterms:created>
  <dcterms:modified xsi:type="dcterms:W3CDTF">2026-01-30T08:01:12Z</dcterms:modified>
</cp:coreProperties>
</file>